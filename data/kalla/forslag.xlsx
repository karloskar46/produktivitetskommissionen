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regeringskansliet.se\Userdata\MWL0624A\Desktop\"/>
    </mc:Choice>
  </mc:AlternateContent>
  <xr:revisionPtr revIDLastSave="0" documentId="13_ncr:1_{88449F51-EB51-4DC1-92F6-21834CBB20B8}" xr6:coauthVersionLast="47" xr6:coauthVersionMax="47" xr10:uidLastSave="{00000000-0000-0000-0000-000000000000}"/>
  <bookViews>
    <workbookView xWindow="-120" yWindow="-120" windowWidth="29040" windowHeight="15720" xr2:uid="{B4606C2E-EAA5-40DD-AE3A-E6724A46CFDD}"/>
  </bookViews>
  <sheets>
    <sheet name="Förslag" sheetId="1" r:id="rId1"/>
    <sheet name="Kapitel" sheetId="2" r:id="rId2"/>
    <sheet name="Mall" sheetId="3" r:id="rId3"/>
  </sheets>
  <definedNames>
    <definedName name="_xlnm._FilterDatabase" localSheetId="0" hidden="1">Förslag!$B$1:$I$303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4" i="1" l="1"/>
  <c r="B105" i="1"/>
  <c r="B106" i="1"/>
  <c r="B107" i="1"/>
  <c r="B108" i="1"/>
  <c r="B109" i="1"/>
  <c r="B110" i="1"/>
  <c r="B111" i="1"/>
  <c r="B112" i="1"/>
  <c r="B113" i="1"/>
  <c r="B114" i="1"/>
  <c r="B103" i="1"/>
  <c r="B252" i="1"/>
  <c r="B251" i="1"/>
  <c r="B142" i="1"/>
  <c r="B4" i="1"/>
  <c r="B92" i="1"/>
  <c r="B16" i="1"/>
  <c r="B10" i="1"/>
  <c r="B11" i="1"/>
  <c r="B9" i="1"/>
  <c r="B23" i="1"/>
  <c r="B22" i="1"/>
  <c r="B21" i="1"/>
  <c r="B188" i="1"/>
  <c r="B61" i="1"/>
  <c r="B62" i="1"/>
  <c r="B64" i="1"/>
  <c r="B66" i="1"/>
  <c r="B67" i="1"/>
  <c r="B69" i="1"/>
  <c r="B71" i="1"/>
  <c r="B72" i="1"/>
  <c r="B73" i="1"/>
  <c r="B77" i="1"/>
  <c r="B80" i="1"/>
  <c r="B90" i="1"/>
  <c r="B91" i="1"/>
  <c r="B99" i="1"/>
  <c r="B101" i="1"/>
  <c r="B94" i="1"/>
  <c r="B78" i="1"/>
  <c r="B49" i="1"/>
  <c r="B52" i="1"/>
  <c r="B54" i="1"/>
  <c r="B58" i="1"/>
  <c r="B59" i="1"/>
  <c r="B60" i="1"/>
  <c r="B25" i="1"/>
  <c r="B27" i="1"/>
  <c r="B28" i="1"/>
  <c r="B29" i="1"/>
  <c r="B30" i="1"/>
  <c r="B31" i="1"/>
  <c r="B33" i="1"/>
  <c r="B35" i="1"/>
  <c r="B37" i="1"/>
  <c r="B38" i="1"/>
  <c r="B40" i="1"/>
  <c r="B41" i="1"/>
  <c r="B44" i="1"/>
  <c r="B45" i="1"/>
  <c r="B46" i="1"/>
  <c r="B47" i="1"/>
  <c r="B24" i="1"/>
  <c r="B284" i="1"/>
  <c r="B285" i="1"/>
  <c r="B286" i="1"/>
  <c r="B287" i="1"/>
  <c r="B288" i="1"/>
  <c r="B289" i="1"/>
  <c r="B290" i="1"/>
  <c r="B291" i="1"/>
  <c r="B292" i="1"/>
  <c r="B293" i="1"/>
  <c r="B294" i="1"/>
  <c r="B295" i="1"/>
  <c r="B296" i="1"/>
  <c r="B297" i="1"/>
  <c r="B298" i="1"/>
  <c r="B299" i="1"/>
  <c r="B300" i="1"/>
  <c r="B301" i="1"/>
  <c r="B302" i="1"/>
  <c r="B279" i="1"/>
  <c r="B280" i="1"/>
  <c r="B281" i="1"/>
  <c r="B282" i="1"/>
  <c r="B283" i="1"/>
  <c r="B121" i="1"/>
  <c r="B122" i="1"/>
  <c r="B123" i="1"/>
  <c r="B124" i="1"/>
  <c r="B125" i="1"/>
  <c r="B126" i="1"/>
  <c r="B127" i="1"/>
  <c r="B128" i="1"/>
  <c r="B129" i="1"/>
  <c r="B130" i="1"/>
  <c r="B131" i="1"/>
  <c r="B132" i="1"/>
  <c r="B133" i="1"/>
  <c r="B134" i="1"/>
  <c r="B135" i="1"/>
  <c r="B136" i="1"/>
  <c r="B137" i="1"/>
  <c r="B138" i="1"/>
  <c r="B139" i="1"/>
  <c r="B140" i="1"/>
  <c r="B141"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116" i="1"/>
  <c r="B117" i="1"/>
  <c r="B118" i="1"/>
  <c r="B119" i="1"/>
  <c r="B120" i="1"/>
  <c r="B115" i="1"/>
  <c r="G78" i="1"/>
  <c r="G94" i="1"/>
  <c r="G73" i="1"/>
  <c r="G72" i="1"/>
  <c r="G71" i="1"/>
  <c r="G69" i="1"/>
  <c r="G67" i="1"/>
  <c r="G66" i="1"/>
  <c r="G64" i="1"/>
  <c r="G62" i="1"/>
  <c r="G61" i="1"/>
  <c r="G60" i="1"/>
  <c r="G59" i="1"/>
  <c r="G58" i="1"/>
  <c r="G54" i="1"/>
  <c r="G52" i="1"/>
  <c r="G49" i="1"/>
  <c r="G47" i="1"/>
  <c r="G46" i="1"/>
  <c r="G45" i="1"/>
  <c r="G44" i="1"/>
  <c r="G41" i="1"/>
  <c r="G40" i="1"/>
  <c r="G38" i="1"/>
  <c r="G37" i="1"/>
  <c r="G24" i="1"/>
  <c r="G25" i="1"/>
  <c r="G27" i="1"/>
  <c r="G28" i="1"/>
  <c r="G29" i="1"/>
  <c r="G30" i="1"/>
  <c r="G31" i="1"/>
  <c r="G33" i="1"/>
  <c r="G35" i="1"/>
  <c r="G77" i="1"/>
  <c r="G80" i="1"/>
  <c r="G90" i="1"/>
  <c r="G91" i="1"/>
  <c r="G99" i="1"/>
  <c r="G101" i="1"/>
</calcChain>
</file>

<file path=xl/sharedStrings.xml><?xml version="1.0" encoding="utf-8"?>
<sst xmlns="http://schemas.openxmlformats.org/spreadsheetml/2006/main" count="1682" uniqueCount="642">
  <si>
    <t>Kapitel</t>
  </si>
  <si>
    <t xml:space="preserve">Teknisk utveckling, forskning och innovation </t>
  </si>
  <si>
    <t>Digitalisering och AI</t>
  </si>
  <si>
    <t>Arbetsmarknad och kompetensförsörjning</t>
  </si>
  <si>
    <t>Kapitalförsörjning</t>
  </si>
  <si>
    <t>Konkurrens och handel</t>
  </si>
  <si>
    <t>Klimat- och industripolitik</t>
  </si>
  <si>
    <t>Energiförsörjning</t>
  </si>
  <si>
    <t>Bostadsmarknaden</t>
  </si>
  <si>
    <t>Kriminalitet och tillit</t>
  </si>
  <si>
    <t>Kommunsektorn</t>
  </si>
  <si>
    <t xml:space="preserve">Administration i offentlig sektor </t>
  </si>
  <si>
    <t>Offentlig upphandling</t>
  </si>
  <si>
    <t>Konkurrens inom välfärdssektorn</t>
  </si>
  <si>
    <t>Hälso- och sjukvård</t>
  </si>
  <si>
    <t>Nr.</t>
  </si>
  <si>
    <t>Förslag/ bedömning</t>
  </si>
  <si>
    <t>Källa</t>
  </si>
  <si>
    <t>Beskrivning</t>
  </si>
  <si>
    <t>Kort förslag/ bedömning</t>
  </si>
  <si>
    <t>Kapitelnamn</t>
  </si>
  <si>
    <t>Avsn.</t>
  </si>
  <si>
    <t>D1</t>
  </si>
  <si>
    <t>Förslag</t>
  </si>
  <si>
    <t>Delbetänkandet</t>
  </si>
  <si>
    <t>Ett riksdagsutskott bör endast få föreslå ändringar i statens budget om särskilda skäl föreligger.</t>
  </si>
  <si>
    <t>Nej</t>
  </si>
  <si>
    <t>Ja</t>
  </si>
  <si>
    <t>D2</t>
  </si>
  <si>
    <t>Bedömning</t>
  </si>
  <si>
    <t>Reservationsförbudet bör stärkas.</t>
  </si>
  <si>
    <t>Delvis</t>
  </si>
  <si>
    <t>Regelgivningsprocessen behöver utvecklas och skärpas för att säkerställa proportionerliga och anpassade regelverk.</t>
  </si>
  <si>
    <t>D4</t>
  </si>
  <si>
    <t>Ekonomistyrningsverket (ESV) ska samordna statens arbete med regelförenkling, konsekvensutredningar och utvärderingar av regelverk. I detta ingår kompetensuppbyggnad, stöd, dialog med intressenter samt granskningsuppgifter.</t>
  </si>
  <si>
    <t>D5</t>
  </si>
  <si>
    <t>Kraven på myndigheters konsekvensutredningar skärps i en rad bemärkelser. Bland annat genom ökat fokus på reglernas samlade samhällsekonomiska effekter.</t>
  </si>
  <si>
    <t>D6</t>
  </si>
  <si>
    <t>ESV ges återremitteringsrätt på konsekvensutredningar som görs av förvaltningsmyndigheter. Föreskrifter får inte beslutas förrän ESV har godkänt konsekvensutredningen.</t>
  </si>
  <si>
    <t>D7</t>
  </si>
  <si>
    <t>En konsekvensutredning ska även göras när myndigheter hemställer till regeringen om nya eller förändrade regler.</t>
  </si>
  <si>
    <t>Staten bör regelbundet inhämta synpunkter från berörda aktörer i syfte att identifiera regelförenklingsmöjligheter.</t>
  </si>
  <si>
    <t>ESV ska inhämta synpunkter via verksamt.se. Informationen ska redovisas till regeringen och ansvarig myndighet.</t>
  </si>
  <si>
    <t>Genomför särskilda regelförenklingskampanjer där både utförande tjänstemän och aktörer som träffas av reglerna kan lämna synpunkter.</t>
  </si>
  <si>
    <t>D11</t>
  </si>
  <si>
    <t>Konsekvensutredningar som föregått beslut om nya föreskrifter ska uppdateras inom tre år. ESV ska följa upp detta och rapportera till regeringen.</t>
  </si>
  <si>
    <t>D12</t>
  </si>
  <si>
    <t>Nya eller ändrade lagar och förordningar med betydelse för företag, individer eller offentlig sektor ska utvärderas inom fem år. Regeringen ska återrapportera resultat och vidtagna åtgärder till riksdagen.</t>
  </si>
  <si>
    <t>D13</t>
  </si>
  <si>
    <t>Utvärderingarna ska bl.a. innehålla en bedömning av reglernas måluppfyllelse, en samhällsekonomisk analys och förslag på förenklingar.</t>
  </si>
  <si>
    <t>D14</t>
  </si>
  <si>
    <t>Även befintliga regelverk bör utvärderas. Regeringen ska årligen redovisa detta arbete till riksdagen.</t>
  </si>
  <si>
    <t>Regeringen ska i en särskild skrivelse till riksdagen årligen redovisa hur den har agerat för att minska regelbördan för företag och andra.</t>
  </si>
  <si>
    <t>D16</t>
  </si>
  <si>
    <t>Föreslagna bestämmelser stadgas i ny förordning. Bestämmelser för att genomföra förslagen som rör regeringens agerande bör stadgas i lag.</t>
  </si>
  <si>
    <t>D17</t>
  </si>
  <si>
    <t>Det bör tydliggöras att myndigheter ska beakta företagens särskilda förutsättningar i sitt arbete i förhållande till företagen. Myndigheter bör även ta hänsyn till påverkan på andra enskilda och offentlig sektor.</t>
  </si>
  <si>
    <t>D18</t>
  </si>
  <si>
    <t>Regeringen bör aktivt integrera detta perspektiv i sin styrning av respektive myndighet och ge myndigheterna förutsättningar att fullgöra uppgiften.</t>
  </si>
  <si>
    <t>D19</t>
  </si>
  <si>
    <t>Detta anges i instruktionerna för relevanta myndigheter. ESV ges i uppdrag att rikta kunskapshöjande insatser till myndigheterna
för ändamålet.</t>
  </si>
  <si>
    <t>Regeringen bör fortsätta att driva på för regelförenkling i EU-samarbetet samt följa upp pågående och nya initiativ med att förenkla EU-regelverket.</t>
  </si>
  <si>
    <t>EU-regleringars konsekvenser för företag verksamma i Sverige behöver belysas bättre i syfte att ge fullgoda underlag till regering och riksdag inför fastställande av svenska positioner i EU-förhandlingar.</t>
  </si>
  <si>
    <t>Sverige bör vid implementeringen av EU-regelverk i möjligaste mån beakta effekter på företagens kostnader, produktivitet, konkurrenskraft och förutsättningar i övrigt liksom effekter för individer och offentlig sektor. I detta ingår bl.a. att inte överimplementera EU-regler.</t>
  </si>
  <si>
    <t>Regeringen bör genomföra de ännu inte genomförda förslagen i utredningen Uppgiftslämnarservice för företagen (SOU 2015:33).</t>
  </si>
  <si>
    <t>Åtgärder för att underlätta företagens uppgiftslämnande</t>
  </si>
  <si>
    <t>Regelförenkling</t>
  </si>
  <si>
    <t>5.6.10</t>
  </si>
  <si>
    <t>Regeringen bör skärpa upp tillämpningen av Förordning (2018:1264) om digitalt inhämtande av uppgifter från företag, intensifiera arbetet för att en uppgift endast ska behöva lämnas en gång till myndighetssfären, förbättra möjligheterna till uppgifts-och datadelning mellan myndigheter samt vidta andra nödvändiga åtgärder för att förverkliga målsättningen om en väg in för företag i myndighetskontakter.</t>
  </si>
  <si>
    <t>D25</t>
  </si>
  <si>
    <t>Regeringen bör förbättra stödet till kommittéväsendet vad gäller samhällsekonomiska analyser, utöka och intensifiera sitt arbete med att korta myndigheternas handläggningstider samt utreda om det är nödvändigt att i kommunallagen förtydliga kommunala myndigheters serviceskyldighet. Därtill bör regeringen utreda hur kommuner och regioner kan bygga upp strukturer likt de som föreslås i detta kapitel.</t>
  </si>
  <si>
    <t>Staten bör i högre grad samordna sitt arbete i tillståndsärenden. På sikt bör det införas en tillstånds- och tillsynsmyndighet.</t>
  </si>
  <si>
    <t>Övergripande och processuella frågor</t>
  </si>
  <si>
    <t>Tillståndsprocesser</t>
  </si>
  <si>
    <t>6.3.1</t>
  </si>
  <si>
    <t>Gör ändringstillstånd, i stället för en fullständig tillståndsprövning, till huvudregel vid ändring av befintliga verksamheter.</t>
  </si>
  <si>
    <t>Fler verksamhetsändringar och krav bör kunna hanteras genom en anmälan eller i tillsynsverksamheten snarare än genom prövning.</t>
  </si>
  <si>
    <t>Prövningsmyndigheter bör upprätta en tidsplan för målet eller ärendet.</t>
  </si>
  <si>
    <t>I tillståndsärenden där kommuner har rätt att påverka processen bör kommunerna vara skyldiga att lämna tidiga och bindande besked.</t>
  </si>
  <si>
    <t>D31</t>
  </si>
  <si>
    <t>Regeringen bör tillsätta en utredning om en ny planlagstiftning. En ventil bör införas i miljöbalken, som möjliggör att  angelägna allmänna intressen vägs mot varandra bl.a. utifrån en samlad samhällsekonomisk bedömning.</t>
  </si>
  <si>
    <t>Regeringen bör ta vidare redan inkomna förslag för hur elnätet snabbare ska kunna byggas ut.</t>
  </si>
  <si>
    <t>Särskilt om kraftledningar</t>
  </si>
  <si>
    <t>6.3.3</t>
  </si>
  <si>
    <t>D33</t>
  </si>
  <si>
    <t>Regeringen bör remittera förslagen från Fiske- och vattenbruksutredningen och ta dem vidare.</t>
  </si>
  <si>
    <t>För att underlätta produktivitetsfrämjande investeringar bör Sverige se över implementeringen av relevanta EU-direktiv.</t>
  </si>
  <si>
    <t>Övriga förändringar</t>
  </si>
  <si>
    <t>6.3.5</t>
  </si>
  <si>
    <t>D35</t>
  </si>
  <si>
    <t>Det krävs ett samlat omtag för att förbättra bostadsmarknadens funktion. Regeringen bör kommunicera en tydlig målsättning om att reformera bostadspolitikens regelverk med fokus på bättre marknadsförutsättningar.</t>
  </si>
  <si>
    <t>Regeringen bör lägga fram en mål- och inriktningsproposition för bostadsmarknaden där målsättningen fastslås samtidigt som den bör innehålla konkreta inriktningar för ett kommande reformarbete. Regelverket som krävs för att realisera propositionens inriktningar bör tas fram.</t>
  </si>
  <si>
    <t>Målsättningen för bostadsmarknaden behöver tydliggöras och regelverken reformeras</t>
  </si>
  <si>
    <t>Bostäder och byggande</t>
  </si>
  <si>
    <t>7.4.1</t>
  </si>
  <si>
    <t>Staten bör inte ska ställa mer krav på bostadsbyggnation än vad som är nödvändigt och samhällsekonomiskt motiverat. Inriktningarna i mål- och inriktningspropositionen bör fokusera på ett mer samhällsekonomiskt effektivt och enklare bostadsbyggande.</t>
  </si>
  <si>
    <t>Inriktningar för ett mer samhällsekonomiskt effektivt och enklare bostadsbyggande</t>
  </si>
  <si>
    <t>7.4.2</t>
  </si>
  <si>
    <t>D38</t>
  </si>
  <si>
    <t>Regelverken reformeras för att möjliggöra ett mer samhällsekonomiskt, enklare och industriellt byggande. Bland annat genom en omprövning av dagens plan- och bygglag och en genomgripande reformering som särskilt beaktar reglernas kostnadsdrivande effekter.</t>
  </si>
  <si>
    <t>Tillgången till byggbar mark bör förbättras. Bland annat genom att reformeringen av regelverket sker med uttalat syfte att ge de samlade samhällsekonomiska aspekter större tyngd och på så sätt öka tillgången till byggbar mark.</t>
  </si>
  <si>
    <t>Ett system utformas som säkerställer att statliga byggregler gäller i hela landet. Exempelvis krävs ytterligare åtgärder, så som tillsyn och sanktioner, för att stoppa förekomsten av förbjudna särkrav.</t>
  </si>
  <si>
    <t>D41</t>
  </si>
  <si>
    <t>Äganderätten stärks och utbudet ökas genom att viss byggnation blir bygglovsfri. Bland annat genom att, med vissa begränsningar, tillåta uppförande av bygglovsfria typsmåhus på tomter avsedda för bostadsändamål samt att mark som fastighetsbildats med syftet bostadsändamål som regel bör få bebyggas även utan en detaljplan.</t>
  </si>
  <si>
    <t>D42</t>
  </si>
  <si>
    <t>Arbetet inom offentlig sektor avseende bostäder och byggande utvecklas för att bli mer ändamålsenligt och effektivt.</t>
  </si>
  <si>
    <t>Det bör utvärderas hur det kommunala planmonopolet påverkar bostadsmarknadens funktion och byggsektorns produktivitetsutveckling.</t>
  </si>
  <si>
    <t>Det kommunala planmonopolet bör utredas</t>
  </si>
  <si>
    <t>7.4.3</t>
  </si>
  <si>
    <t>För att öka tillgången på byggbar mark bör det prövas att helt eller delvis flytta beslutsfattandet om markanvändningen från kommunal nivå till regional och/eller statlig nivå. Alternativt att staten ges möjlighet att kräva att kommunen detaljplanelägger och avsätter mark för bostadsbyggnation.</t>
  </si>
  <si>
    <t>Det bör övervägas att ge fastighetsägare rätt att initiera detaljplaneläggning eller ansöka om bygglov direkt hos en myndighet.</t>
  </si>
  <si>
    <t>Kommunernas ansvar för bostadsförsörjning kan förstärkas genom att ställa krav på att kommuner tillhandahåller en del av sin mark för nybyggnation.</t>
  </si>
  <si>
    <t>D47</t>
  </si>
  <si>
    <t>Flytten av det regionala utvecklingsansvaret från Länsstyrelsen till regionerna bör utvärderas. Statens roll kan behöva stärkas.</t>
  </si>
  <si>
    <t>Överklagande av beslut om detaljplaner och bygglov bör avgiftsbeläggas. Bygglov som beviljats enligt gällande detaljplan bör inte kunna överklagas under planens genomförandetid om bygglovet är i enlighet med detaljplanen.</t>
  </si>
  <si>
    <t>Effektivare överprövning av detaljplaner och bygglov</t>
  </si>
  <si>
    <t>7.4.5</t>
  </si>
  <si>
    <t>D49</t>
  </si>
  <si>
    <t>Begränsa möjligheten för kommunen att ha åsikter om detaljerad gestaltning och utseende i vanliga bostadsbyggnadsprojekt.</t>
  </si>
  <si>
    <t>D50</t>
  </si>
  <si>
    <t>Det bör införas strikta tidsgränser för hur lång tid olika delar av planeringsprocessen får ta. Det bör övervägas huruvida skadestånd till den drabbade aktören ska kunna utgå.</t>
  </si>
  <si>
    <t>Det bör tidigt i planeringsprocessen stå klart vilka underlag som kommunen, länsstyrelsen och berörda myndigheter kräver. Kraven ska, i så stor utsträckning som möjligt, vara enhetliga i hela</t>
  </si>
  <si>
    <t>Begränsa möjligheten att kräva ytterligare underlag</t>
  </si>
  <si>
    <t>7.4.8</t>
  </si>
  <si>
    <t>D52</t>
  </si>
  <si>
    <t>Statliga myndigheter behöver bidra till att förkorta ledtiderna inom kommunernas plan- och lovprocess. Regeringen bör införa återrapporteringskrav om detta i regleringsbreven.</t>
  </si>
  <si>
    <t>Staten bör aktivt och löpande följa upp och analysera produktivitetsutvecklingen och utifrån analysen vidta lämpliga åtgärder. Boverket bör ha en central roll.</t>
  </si>
  <si>
    <t>Produktiviteten i byggsektorn bör löpande följas upp och ett aktivt åtgärdsarbete etableras</t>
  </si>
  <si>
    <t>7.4.10</t>
  </si>
  <si>
    <t>D54</t>
  </si>
  <si>
    <t>Boverket bör, i samarbete med Konkurrensverket och Upphandlingsmyndigheten, utvärdera möjligheterna för typgodkännande av flerbostadshus.</t>
  </si>
  <si>
    <t>D55</t>
  </si>
  <si>
    <t>Inför en möjlighet till planavvikelse för seriebyggda flerbostadshus i enlighet med SOU 2020:75.</t>
  </si>
  <si>
    <t>D56</t>
  </si>
  <si>
    <t>Utred om även produktion av samhällsfastigheter bör inkluderas i möjligheten till planaavvikelse.</t>
  </si>
  <si>
    <t>Ett hållbart och flexibelt strandskydd bör införas som värnar rätten till fri passage, skyddar känslig strandmiljö, förstärker tillgången till ekonomiskt attraktiv byggbar mark samt värnar äganderätten.</t>
  </si>
  <si>
    <t>Ett hållbart strandskydd</t>
  </si>
  <si>
    <t>7.4.11</t>
  </si>
  <si>
    <t>Fri hyressättning vid nyproduktion bör införas.</t>
  </si>
  <si>
    <t>Fri hyressättning vid nyproduktion</t>
  </si>
  <si>
    <t>7.4.13</t>
  </si>
  <si>
    <t>Den samhällsekonomiska effektiviteten bör stärkas i planprocessen.</t>
  </si>
  <si>
    <t>Stärk samhällsekonomisk effektivitet och kostnadskontroll i planprocessen</t>
  </si>
  <si>
    <t>Transportinfrastruktur</t>
  </si>
  <si>
    <t>8.7.1</t>
  </si>
  <si>
    <t>Integrera Trafikverkets investeringsplan med beslutet om att fastställa nationell plan och med det ekonomiska planeringssystemet för transportinfrastruktur så att dessa överensstämmer i innehåll och objektindelning.</t>
  </si>
  <si>
    <t>Inför ett krav på motivering i de fall samhällsekonomiskt olönsamma projekt föreslås ingå i nationell plan/investeringsplan.</t>
  </si>
  <si>
    <t>D62</t>
  </si>
  <si>
    <t>Åtgärder som inte innebär nyinvestering men som kan förbättra den samhällsekonomiska effektiviteten bör hanteras i nationell plan/investeringsplan för att tydliggöra alternativ till nyinvestering. Trafikverket bör föreslå sådana åtgärder där så är lämpligt.</t>
  </si>
  <si>
    <t>Ansvaret för att sätta kalkylräntan för statens investeringar i infrastruktur bör flyttas från Trafikverket till Riksgäldskontoret och baseras på statens upplåningskostnad samt en riskkomponent.</t>
  </si>
  <si>
    <t>Förändra kalkylräntan för infrastrukturinvesteringar</t>
  </si>
  <si>
    <t>8.7.2</t>
  </si>
  <si>
    <t>D64</t>
  </si>
  <si>
    <t>Det är nödvändigt att stärka fokus på underhåll i kommande nationella planer för att förbättra driftssäkerheten och säkra kapaciteten i transportsystemet. Det bör ske en omorientering för att finansiera reinvestering och underhåll av väg och järnväg.</t>
  </si>
  <si>
    <t>Ta hänsyn till samhällsekonomiska konsekvenser vid underhåll i högre grad än idag. Effektivisera användandet av servicefönster, använd totalavstängningar där detta är mest effektivt och analysera om dygnet-runt-arbete kan vara effektivt.</t>
  </si>
  <si>
    <t>3 Prioritera underhåll av väg och järnväg</t>
  </si>
  <si>
    <t>8.7.3</t>
  </si>
  <si>
    <t>Överväg att förändra redovisningen av tillgångar inom transportsektorn så att dessa speglar anläggningarnas verkliga tillstånd. Värderingen bör även viktas samhällsekonomiskt så att viktiga transportlänkar ges större tyngd än lågtrafikerade.</t>
  </si>
  <si>
    <t>D67</t>
  </si>
  <si>
    <t>Tillsätt en utredning i syfte att se över Trafikverkets och transportsektorns organisation, utvärdera sammanslagningen och överväga införandet av institutionell konkurrens.</t>
  </si>
  <si>
    <t>Regeringskansliet behöver sätta upp tydligare mål för Trafikverkets verksamhet och följa upp att myndigheten levererar mot dessa. Ansvarsutkrävandet behöver stärkas.</t>
  </si>
  <si>
    <t>Se över mål- och anslagsstrukturen för Trafikverket</t>
  </si>
  <si>
    <t>8.7.5</t>
  </si>
  <si>
    <t>D69</t>
  </si>
  <si>
    <t>Mål- och anslagsstrukturen för Trafikverket bör ses över.</t>
  </si>
  <si>
    <t>VTI, Trafikanalys och Trafikverket ska gemensamt ta fram en struktur för vilken data som ska samlas in och göras tillgänglig för att möjliggöra uppföljning och utvärdering av upphandlingar inom transportområdet.</t>
  </si>
  <si>
    <t>Bygg en struktur för att följa upp verksamheten på projektnivå</t>
  </si>
  <si>
    <t>8.7.6</t>
  </si>
  <si>
    <t>Trafikverket bör bygga upp ett digitalt underhållsystem för väg och järnväg som ger en realtidsbild av ex, dess tillstånd, kostnad för underhållsåtgärder och när dessa behöver ske.</t>
  </si>
  <si>
    <t>Kontrollen på anläggningen måste stärkas</t>
  </si>
  <si>
    <t>8.7.7</t>
  </si>
  <si>
    <t>Upphandlingarna inom infrastrukturområdet måste göras med större fokus på produktivitet. Arbetet med entreprenader, former för
upphandling, krav i upphandlingar och inhämtande av synpunkter bör stärkas. En ökad andel av upphandlingar bör ske i kvalitetskonkurrens
snarare än priskonkurrens. Upphandlingskompetensen behöver stärkas.</t>
  </si>
  <si>
    <t>Fortsätt utveckla arbete med upphandlingar</t>
  </si>
  <si>
    <t>8.7.8</t>
  </si>
  <si>
    <t>D73</t>
  </si>
  <si>
    <t>Betygsättningen i grund- och gymnasieskolan bör normeras på gruppnivå och kopplas till resultatet i centralt rättade prov.</t>
  </si>
  <si>
    <t>Utbildning</t>
  </si>
  <si>
    <t>D74</t>
  </si>
  <si>
    <t>Ett gemensamt skolval bör införas.</t>
  </si>
  <si>
    <t>D75</t>
  </si>
  <si>
    <t>Det måste bli enklare för elever som i dag är obehöriga att studera på nationella gymnasiala yrkesprogram, t.ex. genom lägre behörighetskrav eller avskaffad skarp godkändgräns.</t>
  </si>
  <si>
    <t>Universitet och högskolor bör få ställa krav på en viss betygsnivå i ett ämne för att en sökande ska anses ha särskild behörighet. En försöksverksamhet bör genomföras där ett visst resultat på högskoleprovet krävs för att en sökande ska anses vara behörig.</t>
  </si>
  <si>
    <t>Rättvisa betyg och antagningsregler främjar kunskap</t>
  </si>
  <si>
    <t>9.3.1</t>
  </si>
  <si>
    <t>Skolpengen bör bl.a. kunna avspegla det skilda ansvar som åligger kommunala respektive fristående skolor.</t>
  </si>
  <si>
    <t>Finansieringen bör spegla utbildningsanordnarens ansvar och premiera högkvalitativ utbildning</t>
  </si>
  <si>
    <t>9.3.2</t>
  </si>
  <si>
    <t>D78</t>
  </si>
  <si>
    <t>Regeringen bör ta vidare icke implementerade förslag
från Dimensioneringsutredningen. Reglerna kring skoletableringar
bör reformeras.</t>
  </si>
  <si>
    <t>Det bör införas en arbetsmarknadskomponent i den högre utbildningens resurstilldelningssystem och dimensionering.</t>
  </si>
  <si>
    <t>D80</t>
  </si>
  <si>
    <t>Ersättningen i resurstilldelningssystemet inom den högre utbildningen bör viktas om, från helårsprestationer till antal helårsstudenter.</t>
  </si>
  <si>
    <t>D81</t>
  </si>
  <si>
    <t>Resurserna per student inom den högre utbildningen bör öka.</t>
  </si>
  <si>
    <t>D82</t>
  </si>
  <si>
    <t>Försöksverksamheter i syfte att nå snabb genomströmning samt snabb och tidig utbildning bör genomföras.</t>
  </si>
  <si>
    <t>D83</t>
  </si>
  <si>
    <t>Offentlighetsprincipen bör gälla alla huvudmän på skolområdet.</t>
  </si>
  <si>
    <t>D84</t>
  </si>
  <si>
    <t>Regeringen bör överväga ifall det ska krävas en ny ansökan om godkännande som huvudman då en huvudman byter ägare, ändrar eller flyttar sin redan godkända verksamhet.</t>
  </si>
  <si>
    <t>D85</t>
  </si>
  <si>
    <t>Ett fungerande regelverk gällande verksamhetsavveckling inom skolan bör utvecklas för att säkerställa elevers rätt till utbildning.</t>
  </si>
  <si>
    <t>D86</t>
  </si>
  <si>
    <t>Elever som riskerar att hamna efter i skolan bör få tidiga insatser.</t>
  </si>
  <si>
    <t>D87</t>
  </si>
  <si>
    <t>Det bör genomföras en försöksverksamhet där undervisningstiden i grundskolan utökas genom att terminerna förlängs och sommarlovet
förkortas.</t>
  </si>
  <si>
    <t>D88</t>
  </si>
  <si>
    <t>Alla barn bör erbjudas ett visst antal timmar per år i fritidshem t.o.m. vårterminen året barnet fyller 10 år.</t>
  </si>
  <si>
    <t>Undantaget från krav på lärarlegitimation för lärare med en utländsk lärarutbildning som undervisar på ett främmande språk bör avskaffas.</t>
  </si>
  <si>
    <t>Tidiga insatser och utvidgad rätt till utbildning m.m</t>
  </si>
  <si>
    <t>9.3.4</t>
  </si>
  <si>
    <t>Metodstöd och vägledningar för offentlig sektors medverkan i försöksverksamheter bör tas fram, spridas och användas.</t>
  </si>
  <si>
    <t>Utveckla metodstöd och vägledningar för försök i offentlig sektor</t>
  </si>
  <si>
    <t>Policyutveckling och försöksverksamhet</t>
  </si>
  <si>
    <t>11.2.1</t>
  </si>
  <si>
    <t>Ett antal myndigheter bör ges i uppdrag att utreda förutsättningarna för regulatoriska sandlådor.</t>
  </si>
  <si>
    <t>D92</t>
  </si>
  <si>
    <t>Statliga regelförändringar bör i högre grad testas på kommunal nivå.</t>
  </si>
  <si>
    <t>Utveckla den centrala stödfunktionen inom kommittéväsendet med ytterligare kapacitet inom samhällsekonomisk analys, juridik och administration.</t>
  </si>
  <si>
    <t>Utveckla stödfunktionen i kommittéväsendet</t>
  </si>
  <si>
    <t>11.3.1</t>
  </si>
  <si>
    <t>D94</t>
  </si>
  <si>
    <t>Utöka delningsundantaget för utredningar och kommittéer så att även svar med synpunkter på utkast omfattas.</t>
  </si>
  <si>
    <t>D95</t>
  </si>
  <si>
    <t>Skapa en samordningsfunktion i Statsrådsberedningen (SB) för att driva prioriterade departementsövergripande frågor.</t>
  </si>
  <si>
    <t>D96</t>
  </si>
  <si>
    <t>Tillsätt en kommitté med uppdrag att driva ett antal centrala samordningsutmaningar mellan myndigheter. Kommittén ska samla myndigheter kring gemensamma problemställningar, identifiera centrala hinder och föreslå gemensamma lösningar.</t>
  </si>
  <si>
    <t>D97</t>
  </si>
  <si>
    <t>Ge Ekonomistyrningsverket eller Statskontoret i uppgift att genomföra översyner av utgifter genom en omprövning av det offentliga åtagandet, den offentliga förvaltningens organisation eller av nivån på resurssättningen för att hantera olika uppgifter.</t>
  </si>
  <si>
    <t>Det bör inrättas ett kommunal- och regionalekonomiskt råd i syfte att bidra till ett ökat lärande och stärkt effektivitet.</t>
  </si>
  <si>
    <t>Stärk uppföljning och lärande i kommuner och regioner</t>
  </si>
  <si>
    <t>Kommunsektorn mm</t>
  </si>
  <si>
    <t>12.3.1</t>
  </si>
  <si>
    <t>D99</t>
  </si>
  <si>
    <t>Fler kommuner bör starta och driva effektiviseringspolitiska råd eller produktivitetskommissioner.</t>
  </si>
  <si>
    <t>Riktat statsbidrag i BP:</t>
  </si>
  <si>
    <t>Regeringen bör föreslå en statsbidragsprincip, där användandet av riktade statsbidrag regleras.</t>
  </si>
  <si>
    <t>Mer ändamålsenlig styrning av kommunsektorn</t>
  </si>
  <si>
    <t>12.3.2</t>
  </si>
  <si>
    <t>D101</t>
  </si>
  <si>
    <t>Relevanta myndigheter bör uppdras att utvärdera nyttan av de uppgifter de samlar in från kommuner och regioner.</t>
  </si>
  <si>
    <t xml:space="preserve">Den högsta marginalskatten på höga arbetsinkomster bör sänkas. </t>
  </si>
  <si>
    <t xml:space="preserve">Lägre marginalskatt på höga arbetsinkomster motiverar en översyn av olika undantag. </t>
  </si>
  <si>
    <t xml:space="preserve">Regelverket kring beskattningen av förvärvsinkomster bör förenklas och skatten bör sannolikt sänkas för lägre inkomster. </t>
  </si>
  <si>
    <t xml:space="preserve">För att upprätthålla förtroendet för det duala systemet och en beskattning som inte missgynnar entreprenörskap bör beskattningen av fåmansföretagare förändras. </t>
  </si>
  <si>
    <t xml:space="preserve">Den omsättningsgräns som i dag finns gällande personal optioner kan utgöra ett hinder för snabbväxande företag och bör därför ses över. </t>
  </si>
  <si>
    <t xml:space="preserve">Undantagen i kapitalbeskattningen bör ses över. </t>
  </si>
  <si>
    <t xml:space="preserve">Skillnaden i den skattemässiga behandlingen av lånat och eget kapital bör åtgärdas. </t>
  </si>
  <si>
    <t xml:space="preserve">Regeringen bör överväga att tillsätta en kontinuerligt verk sam grupp för att säkerställa att Sverige är med och påverkar det inter nationella arbetet kring bolagsbeskattning. </t>
  </si>
  <si>
    <t>FoU-avdraget bör ses över i syfte att förbättra det.</t>
  </si>
  <si>
    <t xml:space="preserve">Bostäder bör beskattas i linje med beskattningen av tillgångar på ett investeringssparkonto. </t>
  </si>
  <si>
    <t>Om bostadsbeskattningen inte görs om i linje med ISK bör åtminstone taket i den kommunala fastighetsavgiften slopas och stämpelskatten sänkas eller slopas</t>
  </si>
  <si>
    <t>Det bör utredas hur skattebasen för mervärdesskatten kan breddas och skattesatserna harmoniseras.</t>
  </si>
  <si>
    <t>Slutbetänkandet</t>
  </si>
  <si>
    <t xml:space="preserve">Goda ramvillkor för näringslivets investeringar i FoU och innovation är avgörande för produktivitetsutvecklingen. </t>
  </si>
  <si>
    <t xml:space="preserve">Satsa på forskning och kompetensförsörjning framför riktade stöd till företag </t>
  </si>
  <si>
    <t>Teknisk utveckling och innovation</t>
  </si>
  <si>
    <t xml:space="preserve">3.5.1 </t>
  </si>
  <si>
    <t xml:space="preserve">Policy för att främja FoU och innovation bör inriktas på breda åtgärder och på att åtgärda tydliga marknadsmisslyckanden. Riktade stöd till enskilda företag eller branscher bör undvikas. </t>
  </si>
  <si>
    <t>Styrningen och finansieringen av universitets- och högskolesektorn bör förändras i syfte att uppnå en tydligare rollfördelning bland lärosätena, uppmuntra en prioritering av resurser till starka forskningsmiljöer och stärka lärosätenas drivkrafter att prestera väl. </t>
  </si>
  <si>
    <t>Tydligare rollfördelning och starkare drivkrafter för lärosäten</t>
  </si>
  <si>
    <t>3.5.2</t>
  </si>
  <si>
    <t xml:space="preserve">Etablera på försök ett antal mindre forskningsinstitut inom teknik, naturvetenskap eller medicin. Efter utvärdering bör dessa utökas eller läggas ned. På sikt kan ytterligare institut övervägas. </t>
  </si>
  <si>
    <t xml:space="preserve">Större institutionell mångfald </t>
  </si>
  <si>
    <t>3.5.3</t>
  </si>
  <si>
    <t xml:space="preserve">Etablera på försök en ny forskningsfinansierande myndighet baserat på den brittiska myndigheten Advanced Research and Invention Agency i syfte att finansiera forskning av banbrytande karaktär. </t>
  </si>
  <si>
    <t xml:space="preserve">Kopplingen mellan akademin och näringslivet bör stärkas för att förbättra förutsättningarna för spridning av forskningen i samhället. </t>
  </si>
  <si>
    <t>Starkare koppling mellan akademi och näringsliv</t>
  </si>
  <si>
    <t>3.5.4</t>
  </si>
  <si>
    <t xml:space="preserve">Tillsätt en utredning av Research Institutes of Sweden (RISE) med fokus på bl.a. organisationsform, finansiering, roll i förhållande till näraliggande myndigheter samt universitet och högskolor, det offentliga åtagandet och risken för osund konkurrens med privat konsultverksamhet. </t>
  </si>
  <si>
    <t xml:space="preserve">Arbeta mer med andra anställningsformer vid lärosäten såsom kombinationstjänster och professor of the practice. </t>
  </si>
  <si>
    <t>Ta fram gemensamma standarder för avtal avseende tolkningar av lärarundantaget respektive EU:s statsstödsregler för samarbetsprojekt mellan näringslivet och lärosäten i syfte att underlätta sådana samarbeten. </t>
  </si>
  <si>
    <t>3.5.5</t>
  </si>
  <si>
    <t xml:space="preserve">Karriärrådgivning ska erbjudas till alla doktorander. </t>
  </si>
  <si>
    <t xml:space="preserve">Förutsättningarna att kommersialisera och sprida innovationer som kommer från forskning vid lärosäten bör förbättras. </t>
  </si>
  <si>
    <t>Innovation vid lärosäten</t>
  </si>
  <si>
    <t xml:space="preserve">Tillsätt en utredning av lärarundantaget i syfte att se om det finns förändringar som skulle kunna underlätta samarbeten med aktörer utanför akademin och öka spridningen av innovationer från lärosäten. </t>
  </si>
  <si>
    <t xml:space="preserve">Universitetskanslerämbetet ges i uppdrag att följa upp och utvärdera innovationskontorens arbete. </t>
  </si>
  <si>
    <t xml:space="preserve">Utvärdera huruvida forskare har tillgång till tillräckligt och ändamålsenligt stöd för att kommersialisera forskningsresultat. </t>
  </si>
  <si>
    <t xml:space="preserve">Systemet för de s.k. företagsfrämjande stöden bör förändras eftersom det riskerar att leda till snedvridningar, skapar komplexitet för involverade aktörer och stöden är svåra att utvärdera. </t>
  </si>
  <si>
    <t>Ett bättre system för företagsfrämjande</t>
  </si>
  <si>
    <t>3.5.6</t>
  </si>
  <si>
    <t xml:space="preserve">Minska antalet främjandeaktörer och antalet system för ansökningar. </t>
  </si>
  <si>
    <t xml:space="preserve">Utveckla gemensamma verktyg för ansökningsprocesserna, t.ex. en digital "en väg in"-lösning i linje med Danmarks och Finlands system.  </t>
  </si>
  <si>
    <t>Skapa en struktur för utvärdering av stöden med bättre tillgång till data, krav på att stöden utformas så att de är utvärderingsbara samt att utvärderingarna utförs av en oberoende myndighet. </t>
  </si>
  <si>
    <t xml:space="preserve">Genomför Förslagen i SOU 2025:3 som syftar till att förenkla och utvidga definitionerna av forskning och utveckling inom ramen för FoU-avdraget. </t>
  </si>
  <si>
    <t>Bredda och förenkla FoU-avdraget</t>
  </si>
  <si>
    <t>3.5.7</t>
  </si>
  <si>
    <t xml:space="preserve">Stöd till företag i samband med kriser bör utformas så att de kan rullas ut snabbt, även om det innebär en sämre träffbild. Stöden bör snabbt rullas tillbaka när ekonomin återhämtar sig. </t>
  </si>
  <si>
    <t xml:space="preserve">Samhällsekonomiskt effektiva krisstöd </t>
  </si>
  <si>
    <t>3.5.8</t>
  </si>
  <si>
    <t xml:space="preserve">Slopa det permanenta stödet vid korttidsarbete eftersom stöd till företag som drabbas av problem i ett normalt konjunkturläge riskerar att hämma strukturomvandlingen. </t>
  </si>
  <si>
    <t xml:space="preserve">Utvärdera det s.k. växa-stödet och undantaget i beskattningen för vissa personaloptioner i syfte att se hur de används i dag och om de bör förbättras eller slopas. </t>
  </si>
  <si>
    <t>Förbättra förutsättningarna för entreprenörskap</t>
  </si>
  <si>
    <t>3.5.9</t>
  </si>
  <si>
    <t xml:space="preserve">Genomför förslaget som syftar till att förenkla beräkningsregeln samt förslagen om slopat löneuttagskrav och kapitalandelskrav i SOU 2024:36. </t>
  </si>
  <si>
    <t xml:space="preserve">Utred förändringar av fåmansföretagsreglerna i syfte att dels minska snedvridningen som gynnar tillväxt i anställningar, dels beskatta samtliga onoterade andelar med samma regler. </t>
  </si>
  <si>
    <t xml:space="preserve">Möjligheterna för personer från tredje land att starta företag och att arbeta i entreprenörsdrivna företag bör förbättras. </t>
  </si>
  <si>
    <t xml:space="preserve">Se över möjligheten att undanta delägare i svenska start-ups från lönegolvet i regelverket kring arbetskraftsinvandring. </t>
  </si>
  <si>
    <t xml:space="preserve">Utred ett svenskt startupvisum. </t>
  </si>
  <si>
    <t xml:space="preserve">Det krävs ökad information och bättre rådgivning om immaterialrätt för forskare och entreprenörer samt bättre möjligheter för mindre aktörer att skydda sina immateriella tillgångar. </t>
  </si>
  <si>
    <t xml:space="preserve">För att förbättra förutsättningarna för att implementera och utveckla Al-verktyg inom forskning samt i företag och organisationer bör antalet STEM-utbildade och utbudet av relevanta och valbara kurser vid lärosäten öka. Dessutom bedöms fler samarbeten mellan forskningsområden och mellan företag och forskare behövas och möjligheterna för utländska studenter att stanna kvar efter studierna bör förbättras. </t>
  </si>
  <si>
    <t>Öka kompetensen och spridningen av tekniken</t>
  </si>
  <si>
    <t>4.4.1</t>
  </si>
  <si>
    <t>Genomför förslagen i SOU 2023:96 för att skapa tydlighet kring interoperabilitet på nationell nivå. </t>
  </si>
  <si>
    <t>Tillgängliggör svenska data</t>
  </si>
  <si>
    <t>4.4.2</t>
  </si>
  <si>
    <t xml:space="preserve">Tillgång till data är grundfundamentet för den digitala utvecklingen. Digitalisering, sammanställning och tillgängliggörande av data behöver därför vara en prioriterad uppgift i offentliga myndigheter. </t>
  </si>
  <si>
    <t xml:space="preserve">Förstärk arbetet på Kungliga biblioteket att tillsammans med lämpliga samarbetspartners utveckla Al-modeller för svensk offentlig sektor. </t>
  </si>
  <si>
    <t xml:space="preserve">Forskning bör ingå i SCB:s verksamhet i syfte att identifiera utvecklingspotential och öka användarvänligheten i statistiken. </t>
  </si>
  <si>
    <t xml:space="preserve">Utforma offentlighets- och sekretesslagen, OSL, omvänt, så att informationsutbyte som huvudregel är tillåtet mellan myndigheter. </t>
  </si>
  <si>
    <t xml:space="preserve">Ersätt nuvarande registerlagar med en enda registerlag. </t>
  </si>
  <si>
    <t xml:space="preserve">Osäkerheten kring hur existerande regelverk rörande data och integritetsskydd ska tolkas bör minskas. </t>
  </si>
  <si>
    <t>Minska osäkerheten kring datahantering</t>
  </si>
  <si>
    <t>4.4.3</t>
  </si>
  <si>
    <t xml:space="preserve">Se över tillämpningen av dataskyddsförordningen (GDPR) i Sverige för att säkerställa att den inte blir striktare än i andra EU-länder. Verka för en gemensam översyn inom EU för att säkerställa en harmoniserad tillämpning som inte hindrar innovation. </t>
  </si>
  <si>
    <t xml:space="preserve">Utred den totala regelbördan samt överlappande regler på digitaliseringsområdet ur näringslivets perspektiv. </t>
  </si>
  <si>
    <t xml:space="preserve">Ta fram standardavtal för datadelning mellan företag och mellan företag och andra aktörer. </t>
  </si>
  <si>
    <t xml:space="preserve">Använd i större utsträckning regulatoriska sandlådor för att testa nya digitala lösningar. </t>
  </si>
  <si>
    <t xml:space="preserve">Patent- och registreringsverket (PRV) ges i uppdrag att informera om upphovsrättsliga frågor. </t>
  </si>
  <si>
    <t xml:space="preserve">Investeringarna i förvaltningsgemensam digital infrastruktur behöver öka. </t>
  </si>
  <si>
    <t>Förbättra den digitala infrastrukturen i offentlig sektor</t>
  </si>
  <si>
    <t>4.4.4</t>
  </si>
  <si>
    <t xml:space="preserve">Ta fram en årlig investeringsplan för samhällsinvesteringar i digital infrastruktur. </t>
  </si>
  <si>
    <t xml:space="preserve">Inrätta ett nytt anslag i statsbudgeten där medel avsätts för att utveckla nödvändiga grundkomponenter i en digital infrastruktur för offentlig sektor. </t>
  </si>
  <si>
    <t xml:space="preserve">Tilldela Digg medel för bidragsutbetalning till andra myndigheter för mindre förvaltningsgemensamma investeringar i digital infrastruktur och digitala lösningar. </t>
  </si>
  <si>
    <t xml:space="preserve">Klassificera investeringar i digital infrastruktur som samhällsinvesteringar. </t>
  </si>
  <si>
    <t xml:space="preserve">Regeringen bör ta initiativ till en marknadsplats för digitala lösningar riktade mot offentlig sektor, likt de marknadsplatser för digitala applikationer som i dag finns på den privata marknaden. </t>
  </si>
  <si>
    <t>Avsätt mer offentliga medel till beräkningskraft för forskning</t>
  </si>
  <si>
    <t xml:space="preserve">Inrätta ett Al-kompetenscentrum (en Al-verkstad) i enlighet med Al-kommissionens förslag för att stödja användning av avancerade digitala tekniker ide offentliga verksamheterna. </t>
  </si>
  <si>
    <t>Stärk förmågan till digital innovation i offentlig sektor</t>
  </si>
  <si>
    <t>4.4.5</t>
  </si>
  <si>
    <t xml:space="preserve">Automatiseringen av beslutsfattandet i offentligt finansierad verksamhet bör öka. </t>
  </si>
  <si>
    <t xml:space="preserve">Gör en översyn av områden där automatisering kan vara relevant. Översynen bör identifiera juridiska och förvaltningsmässiga hinder för automatisering och föreslå hur dessa kan undanröjas. </t>
  </si>
  <si>
    <t xml:space="preserve">De institutionella förutsättningarna för en bred och effektiv användning av Al-teknik samt för företagsdynamik och innovation på området bör följas löpande. Vid behov bör en utredning tillsättas för att föreslå förbättringar. </t>
  </si>
  <si>
    <t>De institutionella förutsättningarna för AI-utvecklingen bör utvärderas</t>
  </si>
  <si>
    <t>4.4.6</t>
  </si>
  <si>
    <t>Sverige bör vara ett attraktivt land för högkvalificerade arbetskraftsinvandrare.</t>
  </si>
  <si>
    <t>Underlätta högkvalificerad arbetskraftinvandring</t>
  </si>
  <si>
    <t xml:space="preserve">Arbetsmarknad och kompetensförsörjning </t>
  </si>
  <si>
    <t>5.3.1</t>
  </si>
  <si>
    <t xml:space="preserve">Genomför de förslag för att stärka attraktiviteten för högkvalificerad arbetskraftsinvandring som tagits fram i SOU 2024:15. </t>
  </si>
  <si>
    <t xml:space="preserve">Det bör bli enklare och mer attraktivt för utländska doktorander att stanna i Sverige efter sin utbildning. </t>
  </si>
  <si>
    <t xml:space="preserve">Genomför de förslag som tagits fram i promemorian Ds 2024:31 som syftar till att underlätta för utländska forskare och doktorander att ansöka om och beviljas uppehållstillstånd. </t>
  </si>
  <si>
    <t xml:space="preserve">Genomför förslagen i SOU 2025:3 som bl.a. syftar till att förenkla och förtydliga kompetensregeln i expertskatteavdraget samt öka avdragets generositet. </t>
  </si>
  <si>
    <t>Lönebildningen bör bli mer decentraliserad och flexibel så att relativlöner i högre utsträckning tillåts spegla förändringar i efterfrågan på arbetskraft. </t>
  </si>
  <si>
    <t>Lönebildningen bör bli mer flexibel</t>
  </si>
  <si>
    <t>5.3.2</t>
  </si>
  <si>
    <t xml:space="preserve">Medlingsinstitutet ges i uppdrag att analysera hur en flexiblare lönebildning kan åstadkommas. </t>
  </si>
  <si>
    <t xml:space="preserve">Den statliga inkomstskatten sänks genom att skiktgränsen höjs och att skattesatsen sänks. Skiktgränsen föreslås höjas så att 5 procent av förvärvsinkomsttagarna betalar den statliga inkomstskatten och skattesatsen föreslås halveras från 20 procent till 10 procent. </t>
  </si>
  <si>
    <t>Sänk den statliga inkomstskatten</t>
  </si>
  <si>
    <t>5.3.3</t>
  </si>
  <si>
    <t xml:space="preserve">Myndigheten för yrkeshögskolan tillåts att bevilja stöd till utbildningar som i dagsläget helt eller delvis tillgodoses av universitet och högskolor. </t>
  </si>
  <si>
    <t>Mer ändamålsenliga och effektivare utbildningskrav</t>
  </si>
  <si>
    <t>5.3.4</t>
  </si>
  <si>
    <t xml:space="preserve">Inrätta en ny nationell yrkesutbildning på gymnasial nivå med lägre studietakt och sänkta behörighetskrav. </t>
  </si>
  <si>
    <t>Stärk de nationella yrkesprogrammen på gymnasial nivå</t>
  </si>
  <si>
    <t>5.3.5</t>
  </si>
  <si>
    <t xml:space="preserve">Studie- och yrkesvägledningen bör stärkas och tillgängligheten till jämförbar information om utbildningskvalitet och prognoser över arbetsmarknadsutfall bör säkerställas. </t>
  </si>
  <si>
    <t xml:space="preserve">STEM och möjligheten att göra kloka utbildningsval </t>
  </si>
  <si>
    <t>5.3.6</t>
  </si>
  <si>
    <t xml:space="preserve">Skolor bör aktivt arbeta med att låta elever träffa förebilder inom STEM-relaterade yrken från olika underrepresenterade grupper. </t>
  </si>
  <si>
    <t>Gymnasieelever som studerar vid andra program än det naturvetenskapliga och tekniska bör ges större möjlighet att läsa mer matematik.</t>
  </si>
  <si>
    <t xml:space="preserve">Ett tydligare fokus på ämneskunskaper och en mer väldefinierad lärarroll bedöms kunna öka studieron och förbättra kunskapsresultaten. </t>
  </si>
  <si>
    <t>Stärkta förutsättningar i klassrummet</t>
  </si>
  <si>
    <t>5.3.7</t>
  </si>
  <si>
    <t xml:space="preserve">Omställningsstudiestödet bör reformeras så att sökanden får besked innan terminsstart, de personer som bedöms ha störst nytta av stödet prioriteras och bidragsdelen inom stödet sänks. </t>
  </si>
  <si>
    <t>Ett mer träffsäkert omställningsstudiestöd</t>
  </si>
  <si>
    <t>5.3.8</t>
  </si>
  <si>
    <t xml:space="preserve">KK-stiftelsen bör ges resurser att finansiera utvecklingen av nya grundutbildningar inom den högre utbildningen som riktar sig till yrkesverksamma. </t>
  </si>
  <si>
    <t>Verksamheten inom omställningsavtalen är omfattande och central för arbetsmarknadens omställningsförmåga och bör därför 
utvärderas</t>
  </si>
  <si>
    <t>Utvärdera verksamheten inom omställningsavtalen</t>
  </si>
  <si>
    <t>5.3.9</t>
  </si>
  <si>
    <t xml:space="preserve">Öka antalet deltagare i arbetsmarknadsutbildning. </t>
  </si>
  <si>
    <t>Stärk arbetsmarknadsutbildningen</t>
  </si>
  <si>
    <t>5.3.10</t>
  </si>
  <si>
    <t xml:space="preserve">Definiera målgruppen för arbetsmarknadsutbildning i högre utsträckning utifrån den arbetssökandes jobbchanser efter avslutad utbildning snarare än tiden i arbetslöshet. </t>
  </si>
  <si>
    <t>Dela upp Arbetsförmedlingens upphandlingar av arbetsmarknadsutbildning i regionala kontrakt för att minska risken för och konsekvenserna av överklaganden. </t>
  </si>
  <si>
    <t xml:space="preserve">Dela föräldraförsäkringen mer lika mellan föräldrarna. </t>
  </si>
  <si>
    <t>En förändrad föräldraförsäkring</t>
  </si>
  <si>
    <t>5.3.11</t>
  </si>
  <si>
    <t>Offentlig finansiering via riskkapital och lån bör inriktas mot områden där privat finansiering underlevererar, i syfte att undvika undanträngning. </t>
  </si>
  <si>
    <t>Vårda den svenska riskkapitalmarknanden</t>
  </si>
  <si>
    <t xml:space="preserve">Kapitalförsörjning </t>
  </si>
  <si>
    <t xml:space="preserve">6.3.1 </t>
  </si>
  <si>
    <t xml:space="preserve">Gör det möjligt för Riksgäldskontoret att låna mer än sitt nettolånebehov, i syfte att stärka likviditeten på räntemarknaden. </t>
  </si>
  <si>
    <t>En mer likvid räntemarknad</t>
  </si>
  <si>
    <t>6.3.2</t>
  </si>
  <si>
    <t xml:space="preserve">Aktörerna på marknaden för företagsobligationer bör verka för en mer välfungerande marknad, bl.a. genom ökade inslag av standardisering och transparens. </t>
  </si>
  <si>
    <t xml:space="preserve">Möjligheten att införa kontonummer- och funktionsportabilitet vid bankbyte bör utredas. </t>
  </si>
  <si>
    <t>Konkurrensen på bankmarknanden</t>
  </si>
  <si>
    <t xml:space="preserve">Förbjud användandet av s.k. listräntor. </t>
  </si>
  <si>
    <t xml:space="preserve">Sverige bör verka för en ökad integrering av de europeiska kapitalmarknaderna. </t>
  </si>
  <si>
    <t xml:space="preserve">Ett bra investeringsklimat och välintegrerade globala marknader </t>
  </si>
  <si>
    <t>6.3.4</t>
  </si>
  <si>
    <t xml:space="preserve">Lagen (2023:560) om granskning av utländska direktinvesteringar bör utvärderas. Sveriges bilaterala investeringsskyddsavtal bör ses över. </t>
  </si>
  <si>
    <t xml:space="preserve">Förbättra möjligheten att åtgärda eller förhindra konkurrensskadliga företagskoncentrationer. </t>
  </si>
  <si>
    <t>En stärkt koncentrationsprövning</t>
  </si>
  <si>
    <t xml:space="preserve">Konkurrens och handel </t>
  </si>
  <si>
    <t>7.5.1</t>
  </si>
  <si>
    <t xml:space="preserve">Tillsätt en utredning med uppdrag att analysera om reglerna och organisationen kring konkurrensrättsliga mål är ändamålsenliga och kostnadseffektiva, samt föreslå nödvändiga förbättringsåtgärder. </t>
  </si>
  <si>
    <t>En översyn av processfrågor</t>
  </si>
  <si>
    <t>7.5.2</t>
  </si>
  <si>
    <t xml:space="preserve">Inför en möjlighet för Konkurrensverket att utreda hela marknader i syfte att identifiera eventuella hinder mot en effektiv konkurrens och kunna genomföra konkurrensfrämjande åtgärder. </t>
  </si>
  <si>
    <t>Ett nytt konkurrensverktyg</t>
  </si>
  <si>
    <t>7.5.3</t>
  </si>
  <si>
    <t xml:space="preserve">Stärk reglerna mot konkurrensbegränsande offentlig säljverksamhet. </t>
  </si>
  <si>
    <t>Stärkt regelverk mot konkurrensbegränsade offentlig verksamhet</t>
  </si>
  <si>
    <t>7.5.4</t>
  </si>
  <si>
    <t xml:space="preserve">Sverige bör fortsatt agera som en ledande förespråkare för öppenhet och frihandel. Viktiga målsättningar är att motverka protektionistisk industripolitik, öka samstämmigheten i implementeringen av regler på den inre marknaden, undvika tung regelbörda för den digitala ekonomin och ingå fler frihandelsavtal med länder utanför EU. </t>
  </si>
  <si>
    <t>Fortsatt verka för öppenhet, frihandel och en bättre inre marknad</t>
  </si>
  <si>
    <t>7.5.5</t>
  </si>
  <si>
    <t xml:space="preserve">Att gå med i euron skulle kunna öka produktivitetstillväxten i Sverige. </t>
  </si>
  <si>
    <t>Sverige bör säkerställa samhällsekonomiskt ändamålsenliga ramvillkor som möjliggör en hållbar klimatomställning. </t>
  </si>
  <si>
    <t>Statens roll och vikten av goda ramvillkor</t>
  </si>
  <si>
    <t xml:space="preserve"> Klimat- och industripolitik</t>
  </si>
  <si>
    <t>8.3.1</t>
  </si>
  <si>
    <t xml:space="preserve">Politisk enighet kring klimatpolitikens långsiktiga inriktning och grundläggande förutsättningar bör eftersträvas. </t>
  </si>
  <si>
    <t xml:space="preserve">Kostnadseffektivitet bör vara en bärande princip vid val och utformning av klimatpolitiska åtgärder. </t>
  </si>
  <si>
    <t>Kostnadseffektivitet bör vara en bärande princip</t>
  </si>
  <si>
    <t>8.3.2</t>
  </si>
  <si>
    <t xml:space="preserve">Klimatpolitiken bör ta sin utgångspunkt i prissättning av utsläppen av växthusgaser. </t>
  </si>
  <si>
    <t>Prissättning av utsläpp av växthusgaser</t>
  </si>
  <si>
    <t>8.3.3</t>
  </si>
  <si>
    <t xml:space="preserve">Bensin- och dieselskatten bör höjas. </t>
  </si>
  <si>
    <t xml:space="preserve">Styrmedelsutredningen (Dir. 2024:98) ges i uppdrag att utreda åtgärder för att begränsa klimatutsläppen från jordbrukssektorn. </t>
  </si>
  <si>
    <t xml:space="preserve">De svenska nationella klimatmålen ses över av Miljömålsberedningen med inriktningen att harmonisera dem fullt ut med de EU-beslutade målen. </t>
  </si>
  <si>
    <t>De svenska nationella klimatmålen skapar otydlighet och försvårar kostnadseffektivitet</t>
  </si>
  <si>
    <t>8.3.4</t>
  </si>
  <si>
    <t xml:space="preserve">Fördelningseffekter av klimatpolitiska åtgärder bör om nödvändigt hanteras genom de ordinarie fördelningspolitiska verktygen, såsom de generella transfererings- och skattesystemen. </t>
  </si>
  <si>
    <t>Hantera fördelningseffekter med ordinarie system</t>
  </si>
  <si>
    <t>8.3.5</t>
  </si>
  <si>
    <t xml:space="preserve">Särskilda krav i offentlig upphandling är sällan en kostnadseffektiv åtgärd för minskade klimatutsläpp och bör inte göras obligatoriskt. </t>
  </si>
  <si>
    <t>Offentlig upphandling är sällan ett effektivt verktyg för grön omställning</t>
  </si>
  <si>
    <t>8.3.6</t>
  </si>
  <si>
    <t>Utgångspunkten för svensk industripolitik bör vara att inte subventionera enskilda företag eller branscher. </t>
  </si>
  <si>
    <t>Riktade industripolitiska stöd bör undvikas</t>
  </si>
  <si>
    <t>8.3.7</t>
  </si>
  <si>
    <t xml:space="preserve">Beslut om stödprogram och enskilda större företagsstöd ska föregås av en analys och särskilt utlåtande från relevanta expertmyndigheter. Analysen ska baseras på tydliga kriterier och principer grundade i teoretisk och empirisk evidens. </t>
  </si>
  <si>
    <t xml:space="preserve">Nya stöd ska föregås av en ordentlig analys </t>
  </si>
  <si>
    <t>8.3.8</t>
  </si>
  <si>
    <t xml:space="preserve">Vid inrättande av ett selektivt stöd bör bl.a. följande principer beaktas i utformningen: 
- Neutralitet och transparens 
- Begränsa risken för det offentliga och säkerställ det privata ansvarstagandet 
- Kostnadseffektivitet 
- Kontinuerlig uppföljning och utvärdering. </t>
  </si>
  <si>
    <t>Stödens utformning bör bygga på tydliga principer</t>
  </si>
  <si>
    <t>8.3.9</t>
  </si>
  <si>
    <t xml:space="preserve">Se över befintliga stödsystem och strukturer inom klimat- och industripolitik så att de ligger i linje med de principer som Produktivitetskommissionen föreslår. </t>
  </si>
  <si>
    <t xml:space="preserve">Se över befintliga stöd och strukturer </t>
  </si>
  <si>
    <t>8.3.10</t>
  </si>
  <si>
    <t xml:space="preserve">Förslag om industripolitiska stöd inom EU bör bedömas utifrån samma kriterier som föreslås avseende stöd på nationell nivå. Sverige bör fortsatt motverka uppluckring av reglerna för statsstöd. Sverige bör även prioritera att hämta hem medel från EU-budgeten framför att inrätta nationella stödprogram. </t>
  </si>
  <si>
    <t>Sveriges agerande i EU</t>
  </si>
  <si>
    <t>8.3.11</t>
  </si>
  <si>
    <t xml:space="preserve">En långsiktig blocköverskridande överenskommelse bör ingås i syfte att skapa stabila spelregler för energimarknaden. </t>
  </si>
  <si>
    <t xml:space="preserve">Energipolitiken bör vara långsiktig </t>
  </si>
  <si>
    <t>9.4.1</t>
  </si>
  <si>
    <t xml:space="preserve">Krav som sätter restriktioner för hur de energipolitiska målen ska uppnås, som t.ex. krav på energieffektivisering, bör undvikas. </t>
  </si>
  <si>
    <t>Målsättningen för energipolitiken bör vara övergripande och stabila över tid</t>
  </si>
  <si>
    <t>9.4.2</t>
  </si>
  <si>
    <t xml:space="preserve">Inför en trestegsprincip för utvecklingen av elsystemet. Optimering och begränsad ombyggnation av det befintliga systemet bör prioriteras före omfattande nyinvesteringar. </t>
  </si>
  <si>
    <t>Inför en trestegsprincip för ett mer samhällsekonomiskt effektivt elsystem</t>
  </si>
  <si>
    <t>9.4.3</t>
  </si>
  <si>
    <t xml:space="preserve">Förtydliga Svenska kraftnäts uppdrag rörande helhetsansvar för planeringen av elsystemet. </t>
  </si>
  <si>
    <t xml:space="preserve">Genomför förslagen i SOU 2023:64 i syfte att uppnå en bättre balans på elnätsmarknaden. </t>
  </si>
  <si>
    <t xml:space="preserve">Genomför förslagen i utredningen om översyn av regleringen på el- och naturgasområdena </t>
  </si>
  <si>
    <t>9.4.4</t>
  </si>
  <si>
    <t xml:space="preserve">Statliga stödprogram bör användas för att säkerställa en ändamålsenlig utbyggnad av elsystemet. Stöd bör utformas stegvis med beaktande av de osäkerheter som finns rörande framtida elbehov. </t>
  </si>
  <si>
    <t>En ändamålsenlig utbyggnad av elsystemet bör kunna genomföras med statligt stöd</t>
  </si>
  <si>
    <t>9.4.5</t>
  </si>
  <si>
    <t xml:space="preserve">Regeringen bör gå vidare med planering för hur nyinvesteringar i kärnkraft kan komma till stånd, i första hand med målet att ersätta befintliga reaktorer när deras livslängd löper ut. </t>
  </si>
  <si>
    <t xml:space="preserve">Analysera möjligheten att livstidsförlänga och kapacitetshöja befintliga kärnkraftsreaktorer ytterligare. </t>
  </si>
  <si>
    <t xml:space="preserve">Ge åter Svenska kraftnät i uppdrag att bygga ut nätanslutningar till havs där det är samhällsekonomiskt motiverat som en del i att öka investeringsviljan i havsbaserad vindkraft. </t>
  </si>
  <si>
    <t>Gå vidare med förslag för att underlätta fortsatt utbyggnad av vindkraft på land genom t.ex. förenklade tillståndsprocesser. </t>
  </si>
  <si>
    <t xml:space="preserve">Analysera hur hinder för ökad vattenkraftsproduktion kan undanröjas utan att miljöbelastningen ökar. </t>
  </si>
  <si>
    <t xml:space="preserve">Analysera möjligheterna att använda de s.k. 
flaskhalsinkomsterna för fler typer av åtgärder som kan förbättra elsystemet. </t>
  </si>
  <si>
    <t xml:space="preserve">Reformera och omreglera hyressättningsmodellen så att hyressättningen görs mer efterfrågebaserad och ger potentiella och nuvarande hyresgästers preferenser ett ökat genomslag. </t>
  </si>
  <si>
    <t>En reformerad hyresmarknad</t>
  </si>
  <si>
    <t>10.4.1</t>
  </si>
  <si>
    <t xml:space="preserve">Förenkla ändringar av en byggnads användningsområde, t.ex. när kontorslokaler byggs om till bostäder. </t>
  </si>
  <si>
    <t xml:space="preserve">Beskattningen av bostäder bör vara neutral. </t>
  </si>
  <si>
    <t>Vikten av en neutral beskattning</t>
  </si>
  <si>
    <t>10.4.2</t>
  </si>
  <si>
    <t xml:space="preserve">Avskaffa ROT-avdraget. </t>
  </si>
  <si>
    <t xml:space="preserve">Genomför en översyn av styrmedel som kan antas påverka människors val av bostadsort, i syfte att minska oavsedda snedvridningar och öka neutraliteten. </t>
  </si>
  <si>
    <t>Främja neutralitet i val av bostadsort</t>
  </si>
  <si>
    <t>10.4.3</t>
  </si>
  <si>
    <t xml:space="preserve">I stället för att den upphandlande myndigheten ska påvisa huruvida en privat aktör är olämplig, bör det åligga den privata aktören att regelbundet och löpande kunna påvisa sin lämplighet. </t>
  </si>
  <si>
    <t>Förändrat perspektiv kring privata utförares lämplighet</t>
  </si>
  <si>
    <t xml:space="preserve">Lagen (2008:962) om valfrihetssystem ska revideras för att möjliggöra starkare grindvaktsfunktioner mot kriminella och oseriösa aktörer. Om det inte bedöms vara möjligt att uppnå med en revidering av lagstiftningen bör LOV upphävas i sin helhet. </t>
  </si>
  <si>
    <t>Revidera eller upphäv lagen om valfrihetssystem</t>
  </si>
  <si>
    <t>11.3.2</t>
  </si>
  <si>
    <t xml:space="preserve">Uppgiftslämnandeskyldighet ska gälla för privata utförare av hälso- och sjukvård. </t>
  </si>
  <si>
    <t>Tillståndsplikt och uppgiftslämnandeskyldighet</t>
  </si>
  <si>
    <t>11.3.3</t>
  </si>
  <si>
    <t>Tillståndsplikt införs för ytterligare verksamheter inom hälso-och sjukvården, däribland primärvård. </t>
  </si>
  <si>
    <t>Kraven för att erhålla tillstånd att bedriva offentligt finansierad verksamhet skärps och beviljas endast om utförare bedöms uppvisa särskild lämplighet. En vandelsprövning ska göras vid utfärdande av nya tillstånd och befintliga tillstånd ska lättare kunna återkallas. </t>
  </si>
  <si>
    <t>Möjligheten att förvärva tillståndspliktiga verksamheter med aktiva tillstånd begränsas</t>
  </si>
  <si>
    <t xml:space="preserve">Ett utförarregister för privata utförare av all offentligt finansierad verksamhet införs. </t>
  </si>
  <si>
    <t xml:space="preserve">Samla, dela och tillgängliggöra information </t>
  </si>
  <si>
    <t>11.3.4</t>
  </si>
  <si>
    <t xml:space="preserve">Möjligheterna för kommuner, regioner och myndigheter att dela information sinsemellan bör förbättras. </t>
  </si>
  <si>
    <t xml:space="preserve">Offentlighetsprincipen ska gälla för alla offentligt finansierade välfärdsverksamheter. </t>
  </si>
  <si>
    <t>Offentlighetsprincip för offentligt finansierad välfärd</t>
  </si>
  <si>
    <t>11.3.5</t>
  </si>
  <si>
    <t xml:space="preserve">Kraven för uteslutning av leverantörer vid upphandling bör sänkas och bli enklare att tillämpa för beställare. </t>
  </si>
  <si>
    <t>Lägre krav för uteslutning och lättare att säga upp avtal</t>
  </si>
  <si>
    <t>11.3.6</t>
  </si>
  <si>
    <t>Det bör bli lättare för offentliga organisationer att säga upp avtal med upphandlade aktörer. </t>
  </si>
  <si>
    <t xml:space="preserve">Det kommunala ansvaret för kontroll och uppföljning av verksamheter som lämnats över till privata utförare skärps. </t>
  </si>
  <si>
    <t>Skärpta krav och möjlighet att ta ut avgifter för kontroll</t>
  </si>
  <si>
    <t>11.3.7</t>
  </si>
  <si>
    <t xml:space="preserve">Kommuner och regioner ges rätt att ta ut avgifter från privata utförare för den kontroll som utförs enligt bestämmelserna i kommunallagen (2017:725). </t>
  </si>
  <si>
    <t xml:space="preserve">Misstänkt korruption i kommuner och regioner ska omfattas av obligatorisk anmälningsskyldighet. </t>
  </si>
  <si>
    <t xml:space="preserve">Insatser mot korruption och möjliggörare </t>
  </si>
  <si>
    <t>11.3.8</t>
  </si>
  <si>
    <t>Regeringen bör överväga hur s.k. möjliggörare i större utsträckning kan motverkas och lagföras. </t>
  </si>
  <si>
    <t xml:space="preserve">Marknaden för bolagsförmedling ska regleras och bolagsmäklare ska omfattas av tillståndsplikt. </t>
  </si>
  <si>
    <t>Motverka användandet av bolag som brottsverktyg</t>
  </si>
  <si>
    <t>11.3.9</t>
  </si>
  <si>
    <t>Det bör bli enklare att avveckla företag.</t>
  </si>
  <si>
    <t xml:space="preserve">Arbetet med att motverka miljö- och avfallsbrottslighet bör intensifieras. </t>
  </si>
  <si>
    <t>Skärpt miljöstraffrätt och insatser mot avfallsbrott</t>
  </si>
  <si>
    <t>11.3.10</t>
  </si>
  <si>
    <t xml:space="preserve">Vidta åtgärder för att förebygga och lagföra miljö- och avfallsbrottslighet, bl.a. vissa förslag som lämnats av Miljöstraffrättsutredningen samt av Naturvårdsverket. </t>
  </si>
  <si>
    <t>Systemet med personlig assistans bör förändras för att motverka att kriminella och oseriösa aktörer verkar inom systemet. Om förändringar inom nuvarande system inte kan genomföras på ett sätt som framgångsrikt utestänger kriminella och oseriösa aktörer bör strukturen förändras, t.ex. genom att återta driften till att endast ske i offentlig regi.</t>
  </si>
  <si>
    <t>Förändra systemet med personlig assistans</t>
  </si>
  <si>
    <t>11.3.11</t>
  </si>
  <si>
    <t xml:space="preserve">Regeringen bör arbeta för att stärka det EU-rättsliga samarbetet kring arbetslivskriminalitet och näringsförbud. </t>
  </si>
  <si>
    <t>Samarbete om arbetslivskriminalitet och näringsförbud</t>
  </si>
  <si>
    <t>11.3.12</t>
  </si>
  <si>
    <t xml:space="preserve">Kriminalpolitik bör utvärderas i större omfattning och på ett mer vetenskapligt och metodologiskt stringent sätt, för att möjliggöra lärande och välinformerat beslutsfattande. </t>
  </si>
  <si>
    <t>Bättre utvärdering av kriminalpolitiken</t>
  </si>
  <si>
    <t>11.3.13</t>
  </si>
  <si>
    <t xml:space="preserve">Statens nuvarande ordning för finansiering av kommunsektorn bidrar till otydlighet och oförutsägbarhet vilket försämrar förutsättningarna för effektiva verksamheter. </t>
  </si>
  <si>
    <t>En garantimodell för kommunsektorns finansiering</t>
  </si>
  <si>
    <t>13.3.1</t>
  </si>
  <si>
    <t xml:space="preserve">En statlig garantimodell för kommunsektorns finansiering införs. </t>
  </si>
  <si>
    <t xml:space="preserve">En redovisning av hur förändrade statsbidrag och reformer påverkar kommuner och regioner ska göras i budgetpropositionen. </t>
  </si>
  <si>
    <t>Bättre redovisning för förbättrad tydlighet</t>
  </si>
  <si>
    <t>13.3.2</t>
  </si>
  <si>
    <t xml:space="preserve">Produktivitetsmätningar i offentlig sektor bör baseras på prestationsmått som kvalitetsjusteras där så är möjligt. </t>
  </si>
  <si>
    <t>Metoder för att kunna mäta produktivitetsutvecklingen</t>
  </si>
  <si>
    <t>13.3.3</t>
  </si>
  <si>
    <t xml:space="preserve">SCB ges i uppdrag att ta fram och utveckla metoder och mått för kvalitetsjusterade produktionsvolymer, samt hålla dessa uppdaterade i tidsserier. </t>
  </si>
  <si>
    <t xml:space="preserve">En statsbidragsportal för samtliga riktade statsbidrag tas fram, där all information om bidragen samlas och där ansökan, återrapportering samt redovisning sker. </t>
  </si>
  <si>
    <t>Statsbidragsportal och sektorsbidrag</t>
  </si>
  <si>
    <t>13.3.4</t>
  </si>
  <si>
    <t xml:space="preserve">Minska antalet riktade statsbidrag genom att de avslutas eller inordnas i sektorsbidrag. </t>
  </si>
  <si>
    <t xml:space="preserve">Tillsätt en utredning i syfte att analysera de kommunala bolagens roll samt ta fram förslag för att garantera insyn, ansvarsutkrävande, sund konkurrens och motverka korruptionsrisker. </t>
  </si>
  <si>
    <t>Kommunala bolag och dold mervärdesskatt</t>
  </si>
  <si>
    <t>13.3.5</t>
  </si>
  <si>
    <t xml:space="preserve">Schablonersättningsnivåerna till kommuner och regioner för s.k. dold mervärdesskatt sänks. </t>
  </si>
  <si>
    <t xml:space="preserve">Regeringen ska ha beredskap att rikta särskilt stöd till kommuner som önskar att gå samman med andra kommuner eller ingå mellankommunal samverkan. </t>
  </si>
  <si>
    <t>Beredskap för kommunsammanläggningar och mellankommunal samverkan</t>
  </si>
  <si>
    <t>13.3.6</t>
  </si>
  <si>
    <t xml:space="preserve">De externa kraven och målsättningarna för offentliga organisationer bör minska. </t>
  </si>
  <si>
    <t>Minska perspektivträngseln</t>
  </si>
  <si>
    <t>Administration i offentlig sektor</t>
  </si>
  <si>
    <t>14.3.1</t>
  </si>
  <si>
    <t xml:space="preserve">Begränsa generella rapporteringskrav i regleringsbrev och myndighetsuppdrag. </t>
  </si>
  <si>
    <t xml:space="preserve">Rapportering och uppföljning av efterlevnad av olika typer av lagstiftningar och regelverk bör ske med längre intervaller än i dag. </t>
  </si>
  <si>
    <t>Rapportering och uppföljning bör ske mer sällan</t>
  </si>
  <si>
    <t>14.3.2</t>
  </si>
  <si>
    <t xml:space="preserve">Statskontoret ges i uppdrag att gå igenom samtliga myndigheters regleringsbrev och föreslå utglesning av rapporteringsintervall för uppdrag och återrapporteringskrav. </t>
  </si>
  <si>
    <t xml:space="preserve">Produktivitetskommissionen har i sitt delbetänkande (SOU 2024:29) lagt en rad förslag för en förbättrad process för regelgivning. De föreslagna åtgärderna skulle bidra till att minska administration också för offentliga organisationer och bör genomföras även av det skälet. </t>
  </si>
  <si>
    <t>Se över myndighetsföreskrifters detaljeringsgrad</t>
  </si>
  <si>
    <t>14.3.3</t>
  </si>
  <si>
    <t xml:space="preserve">Ge ett antal lämpliga myndigheter i uppdrag att gå igenom sina föreskrifter i syfte att minska detaljeringsgraden och därmed administrationen för andra offentliga organisationer. </t>
  </si>
  <si>
    <t xml:space="preserve">Samverkan bör huvudsakligen begränsas till när ett tydligt skäl identifierats för varför det är nödvändigt och ett tydligt och avgränsat mål formulerats. </t>
  </si>
  <si>
    <t xml:space="preserve">Begränsa alltför omfattande organisatorisk samverkan </t>
  </si>
  <si>
    <t>14.3.4</t>
  </si>
  <si>
    <t xml:space="preserve">Bryt ut medel för förvaltning från befintliga anslag för utbildning och forskning genom att inrätta särskilda förvaltningsanslag för universitet och högskolor. </t>
  </si>
  <si>
    <t>Renodla sak- och förvaltningsanslag inom högre utbildning och forskning</t>
  </si>
  <si>
    <t>14.3.5</t>
  </si>
  <si>
    <t xml:space="preserve">Den offentliga sektorn bör i högre grad utnyttja erfarenheter av tidigare leverantörsrelationer vid tilldelning av nya kontrakt. </t>
  </si>
  <si>
    <t>Systematisk användning av erfarenheter</t>
  </si>
  <si>
    <t>15.3.1</t>
  </si>
  <si>
    <t xml:space="preserve">Inför ett system där upphandlande organisationers erfarenhet av olika leverantörer kan registreras i syfte att kunna använda dessa erfarenheter som grund för tilldelning av kontrakt i andra upphandlingar. </t>
  </si>
  <si>
    <t xml:space="preserve">Sammanlänkade uppgifter om hela inköpsprocessen och hela inköpsvolymen bör samlas in i syfte att förbättra möjligheterna för analys och utvärdering. </t>
  </si>
  <si>
    <t>Bättre inköpsuppgifter</t>
  </si>
  <si>
    <t>15.3.2</t>
  </si>
  <si>
    <t xml:space="preserve">Bredda kravet på elektroniska inköp till hela den offentliga sektorn. </t>
  </si>
  <si>
    <t xml:space="preserve">Etablera en statlig annonsdatabas med en roll likt EU:s gemensamma annonsdatabas Tenders Electronic Daily (TED) men för samtliga upphandlingsannonser i Sverige. </t>
  </si>
  <si>
    <t xml:space="preserve">Ge uppdrag till statliga myndigheter med en stor inköpsvolym att arbeta med kategoristyrning och inköpsanalyser. </t>
  </si>
  <si>
    <t>Bättre organisering av inköpsverksamheten</t>
  </si>
  <si>
    <t>15.3.3</t>
  </si>
  <si>
    <t xml:space="preserve">Stärk Upphandlingsmyndighetens upphandlingsstöd. </t>
  </si>
  <si>
    <t>Stärkt nationellt upphandlingsstöd</t>
  </si>
  <si>
    <t>15.3.4</t>
  </si>
  <si>
    <t xml:space="preserve">För över Kammarkollegiets uppgift att upphandla samordnade ramavtal och Diggs uppgifter inom området elektronisk inköpsprocess till Upphandlingsmyndigheten. </t>
  </si>
  <si>
    <t xml:space="preserve">Det bör bli svårare för leverantörer att få upphandlingar överprövade, bl.a. genom införandet av en avgift. </t>
  </si>
  <si>
    <t>Färre överprövningat och effektivare handläggning</t>
  </si>
  <si>
    <t>15.3.5</t>
  </si>
  <si>
    <t xml:space="preserve">Koncentrera upphandlingsmål till färre förvaltningsrätter och kammarrätter. </t>
  </si>
  <si>
    <t xml:space="preserve">Upphandlingsreglerna bör förändras så att upphandlande organisationer får större frihet kring hur upphandlingen genomförs, bättre möjligheter för förhandling med potentiella leverantörer och större utrymme för bedömningar baserade på erfarenheter. </t>
  </si>
  <si>
    <t>Förändrade europeiska upphandlingsregler</t>
  </si>
  <si>
    <t>15.3.6</t>
  </si>
  <si>
    <t xml:space="preserve">Kvasimarknader bör regelbundet utvärderas och omregleras i syfte att åtgärda eventuella problem som uppstått. Kapacitet för detta behöver säkerställas. Information som tas fram inom sådant arbete bör göras tillgängligt för allmänheten. </t>
  </si>
  <si>
    <t>Utvärdering och kontinuerlig omreglering</t>
  </si>
  <si>
    <t>16.4.1</t>
  </si>
  <si>
    <t xml:space="preserve">Det bör generellt ställas höga krav på aktörer för att få delta på en kvasimarknad. Att kraven uppfylls bör säkerställas både genom kontroll vid aktörers inträde och genom löpande tillsyn. </t>
  </si>
  <si>
    <t>Höga krav för att delta på en kvasimarknad</t>
  </si>
  <si>
    <t>16.4.2</t>
  </si>
  <si>
    <t xml:space="preserve">Det bör införas fler konkurrensfrämjande mekanismer i kvasimarknader, exempelvis standardval som premierar de bästa aktörerna. </t>
  </si>
  <si>
    <t xml:space="preserve">Bygg in fler konkurrensfrämjande mekanismer </t>
  </si>
  <si>
    <t>16.4.3</t>
  </si>
  <si>
    <t xml:space="preserve">Primärvårdens roll bör stärkas och dess resursandel öka genom omfördelning inom vårdsystemet. Patienter bör styras mot primärvård som första vårdnivå. </t>
  </si>
  <si>
    <t>Stärkt primärvård med tillräcklig resurstilldelning</t>
  </si>
  <si>
    <t>17.3.1</t>
  </si>
  <si>
    <t xml:space="preserve">Omställningen till en stärkt primärvård ska följas genom de mått som föreslås i SOU 2018:39, bl.a. andelen utfärdade specialistbevis i allmänmedicin samt primärvårdens andel av de totala sjukvårdskostnaderna. </t>
  </si>
  <si>
    <t xml:space="preserve">Kravet på regionerna att tillämpa lagen (2008:962) om valfrihetssystem som upphandlingsform för primärvård tas bort. </t>
  </si>
  <si>
    <t>Kravet på regionerna att tillämpa LOV tas bort</t>
  </si>
  <si>
    <t>17.3.2</t>
  </si>
  <si>
    <t xml:space="preserve">Socialstyrelsen ska rikta stöd till vårdens huvudmän när de utformar sina ersättningssystem. Syftet är att skapa en större enhetlighet, främja kontinuitet, motverka förekomsten av oönskade incitament, minska detaljregleringen och fasa ut s.k. lågvärdevård. </t>
  </si>
  <si>
    <t>Ersättningssystem och beskrivningssystem</t>
  </si>
  <si>
    <t>17.3.3</t>
  </si>
  <si>
    <t>Socialstyrelsen ska se över hälso- och sjukvårdens beskrivningssystem och förändra dessa för att stimulera en överföring av vård till öppnare vårdformer på lägsta effektiva omhändertagandenivå</t>
  </si>
  <si>
    <t xml:space="preserve">Primärvården ges ansvar för brådskande hälso- och sjukvård som inte kräver vård på akutsjukhus. För akuta besök på sjukhus införs remisskrav om inte särskilda skäl föreligger. </t>
  </si>
  <si>
    <t>Remisskrav för akutvård på sjukhus</t>
  </si>
  <si>
    <t>17.3.4</t>
  </si>
  <si>
    <t xml:space="preserve">Staten ska ta ett tydligare strategiskt ansvar för hälso- och sjukvårdens kompetensförsörjning. </t>
  </si>
  <si>
    <t>Strategiskt ansvar för kompetensförsörjning och vårdinfrastruktur</t>
  </si>
  <si>
    <t>17.3.5</t>
  </si>
  <si>
    <t xml:space="preserve">Staten bör bistå huvudmännen med samordning av vårdinfrastrukturplanering. </t>
  </si>
  <si>
    <t xml:space="preserve">Regionernas skyldighet att ersätta digital utomlänsvård enligt utomlänstaxan tas bort. </t>
  </si>
  <si>
    <t>Skyldigheten att ersätta digital utomländsvård enligt utomlänstaxan tas bort</t>
  </si>
  <si>
    <t>17.3.6</t>
  </si>
  <si>
    <t xml:space="preserve">Systemet med privatpraktiserande läkare och fysioterapeuter verksamma genom den nationella taxan avslutas. </t>
  </si>
  <si>
    <t xml:space="preserve">Bättre kontroll över den utförds hälso- och sjukvården </t>
  </si>
  <si>
    <t>17.3.7</t>
  </si>
  <si>
    <t>Statens bidrag för läkemedelsförmåner bör inte inordnas i det generella statsbidraget till kommunsektorn. Det särskilda statsbidraget för läkemedelsförmåner bör kvarstå.</t>
  </si>
  <si>
    <t xml:space="preserve">Finansiering av förskrivningsläkemedel </t>
  </si>
  <si>
    <t>17.3.8</t>
  </si>
  <si>
    <t xml:space="preserve">Staten bör ta ett större ansvar för och tydligare styra centrala delar av vårdens digitalisering. </t>
  </si>
  <si>
    <t>Hälso- och sjukvårdens digitalisering</t>
  </si>
  <si>
    <t>17.3.9</t>
  </si>
  <si>
    <t xml:space="preserve">Välfungerande digitala systemlösningar har potential att minska den tid och de resurser som i dag går till administration. </t>
  </si>
  <si>
    <t xml:space="preserve">Hälsodata bör i högre utsträckning kunna nyttjas för primär- och sekundäranvändning. </t>
  </si>
  <si>
    <t xml:space="preserve">Preventionsinsatser bör stärkas och prioriteras. </t>
  </si>
  <si>
    <t>Vikten av prevention</t>
  </si>
  <si>
    <t>17.3.10</t>
  </si>
  <si>
    <t xml:space="preserve">Folkhälsomyndigheten och Socialstyrelsen ges ett gemensamt uppdrag att utforma ett nationellt reformprogram för stärkt egenvård samt beskriva vilken avlastning det skulle kunna innebära för hälso-och sjukvården. </t>
  </si>
  <si>
    <t xml:space="preserve">Lågvärdevård fasas ut genom bättre följsamhet av de nationella riktlinjerna. Arbetet med Kloka Kliniska Val intensifieras. </t>
  </si>
  <si>
    <t>Fasa ut lågvärdevård</t>
  </si>
  <si>
    <t>17.3.11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</si>
</sst>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8"/>
      <name val="Aptos Narrow"/>
      <family val="2"/>
      <scheme val="minor"/>
    </font>
    <font>
      <b/>
      <sz val="11"/>
      <color theme="1"/>
      <name val="Aptos Narrow"/>
      <family val="2"/>
      <scheme val="minor"/>
    </font>
    <font>
      <b/>
      <sz val="11"/>
      <name val="Arial"/>
      <family val="2"/>
    </font>
    <font>
      <u/>
      <sz val="11"/>
      <color theme="10"/>
      <name val="Aptos Narrow"/>
      <family val="2"/>
      <scheme val="minor"/>
    </font>
    <font>
      <b/>
      <sz val="12"/>
      <name val="Arial"/>
      <family val="2"/>
    </font>
    <font>
      <sz val="11"/>
      <name val="Aptos Narrow"/>
      <family val="2"/>
    </font>
    <font>
      <sz val="11"/>
      <color theme="1"/>
      <name val="Aptos Narrow"/>
      <family val="2"/>
    </font>
    <font>
      <sz val="11"/>
      <color rgb="FF000000"/>
      <name val="Aptos Narrow"/>
      <family val="2"/>
    </font>
    <font>
      <b/>
      <sz val="11"/>
      <color theme="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2" fillId="0" borderId="0" xfId="0" applyFont="1"/>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0" borderId="2" xfId="0" applyFont="1" applyBorder="1" applyAlignment="1">
      <alignment horizontal="center" wrapText="1"/>
    </xf>
    <xf numFmtId="0" fontId="5" fillId="2" borderId="4" xfId="0" applyFont="1" applyFill="1" applyBorder="1" applyAlignment="1">
      <alignment horizontal="center" wrapText="1"/>
    </xf>
    <xf numFmtId="0" fontId="5" fillId="2" borderId="4" xfId="0" applyFont="1" applyFill="1" applyBorder="1" applyAlignment="1">
      <alignment wrapText="1"/>
    </xf>
    <xf numFmtId="0" fontId="6" fillId="0" borderId="1" xfId="0" applyFont="1" applyBorder="1" applyAlignment="1">
      <alignment horizontal="center" wrapText="1"/>
    </xf>
    <xf numFmtId="0" fontId="7" fillId="2" borderId="3" xfId="0" applyFont="1" applyFill="1" applyBorder="1"/>
    <xf numFmtId="0" fontId="7" fillId="2" borderId="1" xfId="0" applyFont="1" applyFill="1" applyBorder="1"/>
    <xf numFmtId="0" fontId="7" fillId="2" borderId="3" xfId="0" applyFont="1" applyFill="1" applyBorder="1" applyAlignment="1">
      <alignment wrapText="1"/>
    </xf>
    <xf numFmtId="0" fontId="7" fillId="2" borderId="1" xfId="0" applyFont="1" applyFill="1" applyBorder="1" applyAlignment="1">
      <alignment wrapText="1"/>
    </xf>
    <xf numFmtId="0" fontId="6" fillId="0" borderId="1" xfId="0" applyFont="1" applyBorder="1" applyAlignment="1">
      <alignment wrapText="1"/>
    </xf>
    <xf numFmtId="0" fontId="8" fillId="2" borderId="1" xfId="0" applyFont="1" applyFill="1" applyBorder="1" applyAlignment="1">
      <alignment wrapText="1"/>
    </xf>
    <xf numFmtId="0" fontId="9" fillId="2" borderId="1" xfId="0" applyFont="1" applyFill="1" applyBorder="1" applyAlignment="1">
      <alignment wrapText="1"/>
    </xf>
    <xf numFmtId="0" fontId="7" fillId="0" borderId="1" xfId="0" applyFont="1" applyBorder="1" applyAlignment="1">
      <alignment horizontal="center" wrapText="1"/>
    </xf>
    <xf numFmtId="0" fontId="6" fillId="0" borderId="1" xfId="0" applyFont="1" applyBorder="1" applyAlignment="1">
      <alignment horizontal="left" wrapText="1"/>
    </xf>
    <xf numFmtId="0" fontId="7" fillId="0" borderId="1" xfId="0" applyFont="1" applyBorder="1" applyAlignment="1">
      <alignment wrapText="1"/>
    </xf>
    <xf numFmtId="0" fontId="7" fillId="0" borderId="1" xfId="0" applyFont="1" applyBorder="1" applyAlignment="1">
      <alignment horizontal="left" wrapText="1"/>
    </xf>
    <xf numFmtId="14" fontId="6" fillId="0" borderId="1" xfId="0" applyNumberFormat="1" applyFont="1" applyBorder="1" applyAlignment="1">
      <alignment horizontal="center" wrapText="1"/>
    </xf>
    <xf numFmtId="0" fontId="7" fillId="2" borderId="1" xfId="0" quotePrefix="1" applyFont="1" applyFill="1" applyBorder="1" applyAlignment="1">
      <alignment wrapText="1"/>
    </xf>
    <xf numFmtId="0" fontId="7" fillId="0" borderId="0" xfId="0" applyFont="1" applyAlignment="1">
      <alignment wrapText="1"/>
    </xf>
    <xf numFmtId="0" fontId="7" fillId="0" borderId="0" xfId="0" applyFont="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21DF-B5C9-402C-9931-B9762AF2492C}">
  <sheetPr>
    <tabColor rgb="FFFF0000"/>
    <pageSetUpPr fitToPage="1"/>
  </sheetPr>
  <dimension ref="A1:X303"/>
  <sheetViews>
    <sheetView tabSelected="1" zoomScale="85" zoomScaleNormal="85" workbookViewId="0">
      <pane ySplit="1" topLeftCell="A282" activePane="bottomLeft" state="frozen"/>
      <selection pane="bottomLeft"/>
    </sheetView>
  </sheetViews>
  <sheetFormatPr defaultColWidth="9.08984375" defaultRowHeight="14.5" x14ac:dyDescent="0.35"/>
  <cols>
    <col min="1" max="1" width="6.08984375" style="3" customWidth="1"/>
    <col min="2" max="2" width="6.7265625" style="3" customWidth="1"/>
    <col min="3" max="3" width="13.90625" style="2" customWidth="1"/>
    <col min="4" max="4" width="16.6328125" style="2" customWidth="1"/>
    <col min="5" max="5" width="47.90625" style="2" customWidth="1"/>
    <col min="6" max="6" width="33.26953125" style="4" customWidth="1"/>
    <col min="7" max="7" width="10.08984375" style="2" customWidth="1"/>
    <col min="8" max="8" width="19" style="2" customWidth="1"/>
    <col min="9" max="9" width="17.453125" style="3" customWidth="1"/>
    <col min="10" max="16384" width="9.08984375" style="2"/>
  </cols>
  <sheetData>
    <row r="1" spans="1:9" ht="64" customHeight="1" thickBot="1" x14ac:dyDescent="0.4">
      <c r="A1" s="5" t="s">
        <v>15</v>
      </c>
      <c r="B1" s="6" t="s">
        <v>15</v>
      </c>
      <c r="C1" s="7" t="s">
        <v>16</v>
      </c>
      <c r="D1" s="7" t="s">
        <v>17</v>
      </c>
      <c r="E1" s="7" t="s">
        <v>18</v>
      </c>
      <c r="F1" s="7" t="s">
        <v>19</v>
      </c>
      <c r="G1" s="7" t="s">
        <v>0</v>
      </c>
      <c r="H1" s="7" t="s">
        <v>20</v>
      </c>
      <c r="I1" s="7" t="s">
        <v>21</v>
      </c>
    </row>
    <row r="2" spans="1:9" ht="29" x14ac:dyDescent="0.35">
      <c r="A2" s="8">
        <v>1</v>
      </c>
      <c r="B2" s="9" t="s">
        <v>22</v>
      </c>
      <c r="C2" s="12" t="s">
        <v>23</v>
      </c>
      <c r="D2" s="18" t="s">
        <v>24</v>
      </c>
      <c r="E2" s="11" t="s">
        <v>25</v>
      </c>
      <c r="F2" s="12"/>
      <c r="G2" s="12"/>
      <c r="H2" s="12"/>
      <c r="I2" s="12"/>
    </row>
    <row r="3" spans="1:9" x14ac:dyDescent="0.35">
      <c r="A3" s="8">
        <v>2</v>
      </c>
      <c r="B3" s="10" t="s">
        <v>28</v>
      </c>
      <c r="C3" s="12" t="s">
        <v>29</v>
      </c>
      <c r="D3" s="18" t="s">
        <v>24</v>
      </c>
      <c r="E3" s="11" t="s">
        <v>30</v>
      </c>
      <c r="F3" s="12"/>
      <c r="G3" s="12"/>
      <c r="H3" s="12"/>
      <c r="I3" s="12"/>
    </row>
    <row r="4" spans="1:9" ht="43.5" x14ac:dyDescent="0.35">
      <c r="A4" s="8">
        <v>3</v>
      </c>
      <c r="B4" s="10" t="str">
        <f>"D"&amp;A4</f>
        <v>D3</v>
      </c>
      <c r="C4" s="12" t="s">
        <v>29</v>
      </c>
      <c r="D4" s="18" t="s">
        <v>24</v>
      </c>
      <c r="E4" s="11" t="s">
        <v>32</v>
      </c>
      <c r="F4" s="12"/>
      <c r="G4" s="12"/>
      <c r="H4" s="12"/>
      <c r="I4" s="12"/>
    </row>
    <row r="5" spans="1:9" ht="72.5" x14ac:dyDescent="0.35">
      <c r="A5" s="8">
        <v>4</v>
      </c>
      <c r="B5" s="10" t="s">
        <v>33</v>
      </c>
      <c r="C5" s="12" t="s">
        <v>23</v>
      </c>
      <c r="D5" s="18" t="s">
        <v>24</v>
      </c>
      <c r="E5" s="11" t="s">
        <v>34</v>
      </c>
      <c r="F5" s="12"/>
      <c r="G5" s="12"/>
      <c r="H5" s="12"/>
      <c r="I5" s="12"/>
    </row>
    <row r="6" spans="1:9" ht="43.5" x14ac:dyDescent="0.35">
      <c r="A6" s="8">
        <v>5</v>
      </c>
      <c r="B6" s="10" t="s">
        <v>35</v>
      </c>
      <c r="C6" s="12" t="s">
        <v>23</v>
      </c>
      <c r="D6" s="18" t="s">
        <v>24</v>
      </c>
      <c r="E6" s="12" t="s">
        <v>36</v>
      </c>
      <c r="F6" s="12"/>
      <c r="G6" s="12"/>
      <c r="H6" s="12"/>
      <c r="I6" s="12"/>
    </row>
    <row r="7" spans="1:9" ht="43.5" x14ac:dyDescent="0.35">
      <c r="A7" s="8">
        <v>6</v>
      </c>
      <c r="B7" s="10" t="s">
        <v>37</v>
      </c>
      <c r="C7" s="12" t="s">
        <v>23</v>
      </c>
      <c r="D7" s="18" t="s">
        <v>24</v>
      </c>
      <c r="E7" s="12" t="s">
        <v>38</v>
      </c>
      <c r="F7" s="12"/>
      <c r="G7" s="12"/>
      <c r="H7" s="12"/>
    </row>
    <row r="8" spans="1:9" ht="29" x14ac:dyDescent="0.35">
      <c r="A8" s="8">
        <v>7</v>
      </c>
      <c r="B8" s="10" t="s">
        <v>39</v>
      </c>
      <c r="C8" s="12" t="s">
        <v>23</v>
      </c>
      <c r="D8" s="18" t="s">
        <v>24</v>
      </c>
      <c r="E8" s="12" t="s">
        <v>40</v>
      </c>
      <c r="F8" s="21"/>
      <c r="G8" s="12"/>
      <c r="H8" s="12"/>
      <c r="I8" s="12"/>
    </row>
    <row r="9" spans="1:9" ht="29" x14ac:dyDescent="0.35">
      <c r="A9" s="8">
        <v>8</v>
      </c>
      <c r="B9" s="10" t="str">
        <f>"D"&amp;A9</f>
        <v>D8</v>
      </c>
      <c r="C9" s="12" t="s">
        <v>29</v>
      </c>
      <c r="D9" s="18" t="s">
        <v>24</v>
      </c>
      <c r="E9" s="12" t="s">
        <v>41</v>
      </c>
      <c r="F9" s="12"/>
      <c r="G9" s="12"/>
      <c r="H9" s="12"/>
      <c r="I9" s="12"/>
    </row>
    <row r="10" spans="1:9" ht="43.5" x14ac:dyDescent="0.35">
      <c r="A10" s="8">
        <v>9</v>
      </c>
      <c r="B10" s="10" t="str">
        <f>"D"&amp;A10</f>
        <v>D9</v>
      </c>
      <c r="C10" s="12" t="s">
        <v>23</v>
      </c>
      <c r="D10" s="18" t="s">
        <v>24</v>
      </c>
      <c r="E10" s="12" t="s">
        <v>42</v>
      </c>
      <c r="F10" s="12"/>
      <c r="G10" s="12"/>
      <c r="H10" s="12"/>
      <c r="I10" s="12"/>
    </row>
    <row r="11" spans="1:9" ht="43.5" x14ac:dyDescent="0.35">
      <c r="A11" s="8">
        <v>10</v>
      </c>
      <c r="B11" s="10" t="str">
        <f>"D"&amp;A11</f>
        <v>D10</v>
      </c>
      <c r="C11" s="12" t="s">
        <v>23</v>
      </c>
      <c r="D11" s="18" t="s">
        <v>24</v>
      </c>
      <c r="E11" s="12" t="s">
        <v>43</v>
      </c>
      <c r="F11" s="12"/>
      <c r="G11" s="12"/>
      <c r="H11" s="12"/>
      <c r="I11" s="12"/>
    </row>
    <row r="12" spans="1:9" ht="43.5" x14ac:dyDescent="0.35">
      <c r="A12" s="8">
        <v>11</v>
      </c>
      <c r="B12" s="10" t="s">
        <v>44</v>
      </c>
      <c r="C12" s="12" t="s">
        <v>23</v>
      </c>
      <c r="D12" s="18" t="s">
        <v>24</v>
      </c>
      <c r="E12" s="12" t="s">
        <v>45</v>
      </c>
      <c r="F12" s="12"/>
      <c r="G12" s="12"/>
      <c r="H12" s="12"/>
      <c r="I12" s="12"/>
    </row>
    <row r="13" spans="1:9" ht="58" x14ac:dyDescent="0.35">
      <c r="A13" s="8">
        <v>12</v>
      </c>
      <c r="B13" s="10" t="s">
        <v>46</v>
      </c>
      <c r="C13" s="12" t="s">
        <v>23</v>
      </c>
      <c r="D13" s="18" t="s">
        <v>24</v>
      </c>
      <c r="E13" s="12" t="s">
        <v>47</v>
      </c>
      <c r="F13" s="12"/>
      <c r="G13" s="12"/>
      <c r="H13" s="12"/>
      <c r="I13" s="12"/>
    </row>
    <row r="14" spans="1:9" ht="43.5" x14ac:dyDescent="0.35">
      <c r="A14" s="8">
        <v>13</v>
      </c>
      <c r="B14" s="10" t="s">
        <v>48</v>
      </c>
      <c r="C14" s="12" t="s">
        <v>23</v>
      </c>
      <c r="D14" s="18" t="s">
        <v>24</v>
      </c>
      <c r="E14" s="12" t="s">
        <v>49</v>
      </c>
      <c r="F14" s="12"/>
      <c r="G14" s="12"/>
      <c r="H14" s="12"/>
      <c r="I14" s="12"/>
    </row>
    <row r="15" spans="1:9" ht="29" x14ac:dyDescent="0.35">
      <c r="A15" s="8">
        <v>14</v>
      </c>
      <c r="B15" s="10" t="s">
        <v>50</v>
      </c>
      <c r="C15" s="12" t="s">
        <v>29</v>
      </c>
      <c r="D15" s="18" t="s">
        <v>24</v>
      </c>
      <c r="E15" s="12" t="s">
        <v>51</v>
      </c>
      <c r="F15" s="12"/>
      <c r="G15" s="12"/>
      <c r="H15" s="12"/>
      <c r="I15" s="12"/>
    </row>
    <row r="16" spans="1:9" ht="43.5" x14ac:dyDescent="0.35">
      <c r="A16" s="8">
        <v>15</v>
      </c>
      <c r="B16" s="10" t="str">
        <f>"D"&amp;A16</f>
        <v>D15</v>
      </c>
      <c r="C16" s="12" t="s">
        <v>23</v>
      </c>
      <c r="D16" s="18" t="s">
        <v>24</v>
      </c>
      <c r="E16" s="12" t="s">
        <v>52</v>
      </c>
      <c r="F16" s="12"/>
      <c r="G16" s="12"/>
      <c r="H16" s="12"/>
      <c r="I16" s="12"/>
    </row>
    <row r="17" spans="1:9" ht="43.5" x14ac:dyDescent="0.35">
      <c r="A17" s="8">
        <v>16</v>
      </c>
      <c r="B17" s="10" t="s">
        <v>53</v>
      </c>
      <c r="C17" s="12" t="s">
        <v>23</v>
      </c>
      <c r="D17" s="18" t="s">
        <v>24</v>
      </c>
      <c r="E17" s="12" t="s">
        <v>54</v>
      </c>
      <c r="F17" s="12"/>
      <c r="G17" s="12"/>
      <c r="H17" s="12"/>
      <c r="I17" s="12"/>
    </row>
    <row r="18" spans="1:9" ht="58" x14ac:dyDescent="0.35">
      <c r="A18" s="8">
        <v>17</v>
      </c>
      <c r="B18" s="10" t="s">
        <v>55</v>
      </c>
      <c r="C18" s="12" t="s">
        <v>29</v>
      </c>
      <c r="D18" s="18" t="s">
        <v>24</v>
      </c>
      <c r="E18" s="12" t="s">
        <v>56</v>
      </c>
      <c r="F18" s="12"/>
      <c r="G18" s="12"/>
      <c r="H18" s="12"/>
      <c r="I18" s="12"/>
    </row>
    <row r="19" spans="1:9" ht="43.5" x14ac:dyDescent="0.35">
      <c r="A19" s="13">
        <v>18</v>
      </c>
      <c r="B19" s="10" t="s">
        <v>57</v>
      </c>
      <c r="C19" s="12" t="s">
        <v>29</v>
      </c>
      <c r="D19" s="18" t="s">
        <v>24</v>
      </c>
      <c r="E19" s="12" t="s">
        <v>58</v>
      </c>
      <c r="F19" s="12"/>
      <c r="G19" s="12"/>
      <c r="H19" s="12"/>
      <c r="I19" s="12"/>
    </row>
    <row r="20" spans="1:9" ht="58" x14ac:dyDescent="0.35">
      <c r="A20" s="13">
        <v>19</v>
      </c>
      <c r="B20" s="10" t="s">
        <v>59</v>
      </c>
      <c r="C20" s="12" t="s">
        <v>23</v>
      </c>
      <c r="D20" s="18" t="s">
        <v>24</v>
      </c>
      <c r="E20" s="12" t="s">
        <v>60</v>
      </c>
      <c r="F20" s="12"/>
      <c r="G20" s="12"/>
      <c r="H20" s="12"/>
      <c r="I20" s="12"/>
    </row>
    <row r="21" spans="1:9" ht="43.5" x14ac:dyDescent="0.35">
      <c r="A21" s="13">
        <v>20</v>
      </c>
      <c r="B21" s="10" t="str">
        <f>"D"&amp;A21</f>
        <v>D20</v>
      </c>
      <c r="C21" s="12" t="s">
        <v>29</v>
      </c>
      <c r="D21" s="18" t="s">
        <v>24</v>
      </c>
      <c r="E21" s="12" t="s">
        <v>61</v>
      </c>
      <c r="F21" s="12"/>
      <c r="G21" s="12"/>
      <c r="H21" s="12"/>
      <c r="I21" s="12"/>
    </row>
    <row r="22" spans="1:9" ht="58" x14ac:dyDescent="0.35">
      <c r="A22" s="13">
        <v>21</v>
      </c>
      <c r="B22" s="10" t="str">
        <f>"D"&amp;A22</f>
        <v>D21</v>
      </c>
      <c r="C22" s="12" t="s">
        <v>29</v>
      </c>
      <c r="D22" s="18" t="s">
        <v>24</v>
      </c>
      <c r="E22" s="12" t="s">
        <v>62</v>
      </c>
      <c r="F22" s="12"/>
      <c r="G22" s="12"/>
      <c r="H22" s="12"/>
      <c r="I22" s="12"/>
    </row>
    <row r="23" spans="1:9" ht="72.5" x14ac:dyDescent="0.35">
      <c r="A23" s="13">
        <v>22</v>
      </c>
      <c r="B23" s="10" t="str">
        <f>"D"&amp;A23</f>
        <v>D22</v>
      </c>
      <c r="C23" s="12" t="s">
        <v>29</v>
      </c>
      <c r="D23" s="18" t="s">
        <v>24</v>
      </c>
      <c r="E23" s="12" t="s">
        <v>63</v>
      </c>
      <c r="F23" s="12"/>
      <c r="G23" s="12"/>
      <c r="H23" s="12"/>
      <c r="I23" s="12"/>
    </row>
    <row r="24" spans="1:9" ht="43.5" x14ac:dyDescent="0.35">
      <c r="A24" s="13">
        <v>23</v>
      </c>
      <c r="B24" s="13" t="str">
        <f>"D"&amp;A24</f>
        <v>D23</v>
      </c>
      <c r="C24" s="18" t="s">
        <v>29</v>
      </c>
      <c r="D24" s="13" t="s">
        <v>24</v>
      </c>
      <c r="E24" s="18" t="s">
        <v>64</v>
      </c>
      <c r="F24" s="17" t="s">
        <v>65</v>
      </c>
      <c r="G24" s="8" t="str">
        <f>"D." &amp; LEFT(I24, FIND(".", I24)-1)</f>
        <v>D.5</v>
      </c>
      <c r="H24" s="17" t="s">
        <v>66</v>
      </c>
      <c r="I24" s="8" t="s">
        <v>67</v>
      </c>
    </row>
    <row r="25" spans="1:9" ht="116" x14ac:dyDescent="0.35">
      <c r="A25" s="13">
        <v>24</v>
      </c>
      <c r="B25" s="13" t="str">
        <f>"D"&amp;A25</f>
        <v>D24</v>
      </c>
      <c r="C25" s="18" t="s">
        <v>29</v>
      </c>
      <c r="D25" s="13" t="s">
        <v>24</v>
      </c>
      <c r="E25" s="18" t="s">
        <v>68</v>
      </c>
      <c r="F25" s="17" t="s">
        <v>65</v>
      </c>
      <c r="G25" s="8" t="str">
        <f>"D." &amp; LEFT(I25, FIND(".", I25)-1)</f>
        <v>D.5</v>
      </c>
      <c r="H25" s="17" t="s">
        <v>66</v>
      </c>
      <c r="I25" s="8" t="s">
        <v>67</v>
      </c>
    </row>
    <row r="26" spans="1:9" ht="116" x14ac:dyDescent="0.35">
      <c r="A26" s="13">
        <v>25</v>
      </c>
      <c r="B26" s="10" t="s">
        <v>69</v>
      </c>
      <c r="C26" s="12" t="s">
        <v>29</v>
      </c>
      <c r="D26" s="18" t="s">
        <v>24</v>
      </c>
      <c r="E26" s="12" t="s">
        <v>70</v>
      </c>
      <c r="F26" s="12"/>
      <c r="G26" s="12"/>
      <c r="H26" s="12"/>
      <c r="I26" s="12"/>
    </row>
    <row r="27" spans="1:9" ht="43.5" x14ac:dyDescent="0.35">
      <c r="A27" s="13">
        <v>26</v>
      </c>
      <c r="B27" s="13" t="str">
        <f>"D"&amp;A27</f>
        <v>D26</v>
      </c>
      <c r="C27" s="18" t="s">
        <v>29</v>
      </c>
      <c r="D27" s="13" t="s">
        <v>24</v>
      </c>
      <c r="E27" s="18" t="s">
        <v>71</v>
      </c>
      <c r="F27" s="17" t="s">
        <v>72</v>
      </c>
      <c r="G27" s="8" t="str">
        <f>"D." &amp; LEFT(I27, FIND(".", I27)-1)</f>
        <v>D.6</v>
      </c>
      <c r="H27" s="17" t="s">
        <v>73</v>
      </c>
      <c r="I27" s="8" t="s">
        <v>74</v>
      </c>
    </row>
    <row r="28" spans="1:9" ht="43.5" x14ac:dyDescent="0.35">
      <c r="A28" s="13">
        <v>27</v>
      </c>
      <c r="B28" s="13" t="str">
        <f>"D"&amp;A28</f>
        <v>D27</v>
      </c>
      <c r="C28" s="18" t="s">
        <v>29</v>
      </c>
      <c r="D28" s="13" t="s">
        <v>24</v>
      </c>
      <c r="E28" s="18" t="s">
        <v>75</v>
      </c>
      <c r="F28" s="17" t="s">
        <v>72</v>
      </c>
      <c r="G28" s="8" t="str">
        <f>"D." &amp; LEFT(I28, FIND(".", I28)-1)</f>
        <v>D.6</v>
      </c>
      <c r="H28" s="17" t="s">
        <v>73</v>
      </c>
      <c r="I28" s="8" t="s">
        <v>74</v>
      </c>
    </row>
    <row r="29" spans="1:9" ht="43.5" x14ac:dyDescent="0.35">
      <c r="A29" s="13">
        <v>28</v>
      </c>
      <c r="B29" s="13" t="str">
        <f>"D"&amp;A29</f>
        <v>D28</v>
      </c>
      <c r="C29" s="18" t="s">
        <v>29</v>
      </c>
      <c r="D29" s="13" t="s">
        <v>24</v>
      </c>
      <c r="E29" s="18" t="s">
        <v>76</v>
      </c>
      <c r="F29" s="17" t="s">
        <v>72</v>
      </c>
      <c r="G29" s="8" t="str">
        <f>"D." &amp; LEFT(I29, FIND(".", I29)-1)</f>
        <v>D.6</v>
      </c>
      <c r="H29" s="17" t="s">
        <v>73</v>
      </c>
      <c r="I29" s="8" t="s">
        <v>74</v>
      </c>
    </row>
    <row r="30" spans="1:9" ht="29" x14ac:dyDescent="0.35">
      <c r="A30" s="13">
        <v>29</v>
      </c>
      <c r="B30" s="13" t="str">
        <f>"D"&amp;A30</f>
        <v>D29</v>
      </c>
      <c r="C30" s="18" t="s">
        <v>29</v>
      </c>
      <c r="D30" s="13" t="s">
        <v>24</v>
      </c>
      <c r="E30" s="18" t="s">
        <v>77</v>
      </c>
      <c r="F30" s="17" t="s">
        <v>72</v>
      </c>
      <c r="G30" s="8" t="str">
        <f>"D." &amp; LEFT(I30, FIND(".", I30)-1)</f>
        <v>D.6</v>
      </c>
      <c r="H30" s="17" t="s">
        <v>73</v>
      </c>
      <c r="I30" s="8" t="s">
        <v>74</v>
      </c>
    </row>
    <row r="31" spans="1:9" ht="43.5" x14ac:dyDescent="0.35">
      <c r="A31" s="13">
        <v>30</v>
      </c>
      <c r="B31" s="13" t="str">
        <f>"D"&amp;A31</f>
        <v>D30</v>
      </c>
      <c r="C31" s="18" t="s">
        <v>29</v>
      </c>
      <c r="D31" s="13" t="s">
        <v>24</v>
      </c>
      <c r="E31" s="18" t="s">
        <v>78</v>
      </c>
      <c r="F31" s="17" t="s">
        <v>72</v>
      </c>
      <c r="G31" s="8" t="str">
        <f>"D." &amp; LEFT(I31, FIND(".", I31)-1)</f>
        <v>D.6</v>
      </c>
      <c r="H31" s="17" t="s">
        <v>73</v>
      </c>
      <c r="I31" s="8" t="s">
        <v>74</v>
      </c>
    </row>
    <row r="32" spans="1:9" ht="72.5" x14ac:dyDescent="0.35">
      <c r="A32" s="13">
        <v>31</v>
      </c>
      <c r="B32" s="10" t="s">
        <v>79</v>
      </c>
      <c r="C32" s="12" t="s">
        <v>23</v>
      </c>
      <c r="D32" s="18" t="s">
        <v>24</v>
      </c>
      <c r="E32" s="12" t="s">
        <v>80</v>
      </c>
      <c r="F32" s="12"/>
      <c r="G32" s="12"/>
      <c r="H32" s="12"/>
      <c r="I32" s="12"/>
    </row>
    <row r="33" spans="1:9" ht="29" x14ac:dyDescent="0.35">
      <c r="A33" s="13">
        <v>32</v>
      </c>
      <c r="B33" s="13" t="str">
        <f>"D"&amp;A33</f>
        <v>D32</v>
      </c>
      <c r="C33" s="18" t="s">
        <v>23</v>
      </c>
      <c r="D33" s="13" t="s">
        <v>24</v>
      </c>
      <c r="E33" s="18" t="s">
        <v>81</v>
      </c>
      <c r="F33" s="17" t="s">
        <v>82</v>
      </c>
      <c r="G33" s="8" t="str">
        <f>"D." &amp; LEFT(I33, FIND(".", I33)-1)</f>
        <v>D.6</v>
      </c>
      <c r="H33" s="17" t="s">
        <v>73</v>
      </c>
      <c r="I33" s="8" t="s">
        <v>83</v>
      </c>
    </row>
    <row r="34" spans="1:9" ht="29" x14ac:dyDescent="0.35">
      <c r="A34" s="10">
        <v>33</v>
      </c>
      <c r="B34" s="10" t="s">
        <v>84</v>
      </c>
      <c r="C34" s="12" t="s">
        <v>23</v>
      </c>
      <c r="D34" s="18" t="s">
        <v>24</v>
      </c>
      <c r="E34" s="12" t="s">
        <v>85</v>
      </c>
      <c r="F34" s="12"/>
      <c r="G34" s="12"/>
      <c r="H34" s="12"/>
      <c r="I34" s="12"/>
    </row>
    <row r="35" spans="1:9" ht="43.5" x14ac:dyDescent="0.35">
      <c r="A35" s="13">
        <v>34</v>
      </c>
      <c r="B35" s="13" t="str">
        <f>"D"&amp;A35</f>
        <v>D34</v>
      </c>
      <c r="C35" s="18" t="s">
        <v>29</v>
      </c>
      <c r="D35" s="13" t="s">
        <v>24</v>
      </c>
      <c r="E35" s="18" t="s">
        <v>86</v>
      </c>
      <c r="F35" s="17" t="s">
        <v>87</v>
      </c>
      <c r="G35" s="8" t="str">
        <f>"D." &amp; LEFT(I35, FIND(".", I35)-1)</f>
        <v>D.6</v>
      </c>
      <c r="H35" s="17" t="s">
        <v>73</v>
      </c>
      <c r="I35" s="8" t="s">
        <v>88</v>
      </c>
    </row>
    <row r="36" spans="1:9" ht="72.5" x14ac:dyDescent="0.35">
      <c r="A36" s="10">
        <v>35</v>
      </c>
      <c r="B36" s="10" t="s">
        <v>89</v>
      </c>
      <c r="C36" s="12" t="s">
        <v>29</v>
      </c>
      <c r="D36" s="18" t="s">
        <v>24</v>
      </c>
      <c r="E36" s="12" t="s">
        <v>90</v>
      </c>
      <c r="F36" s="12"/>
      <c r="G36" s="12"/>
      <c r="H36" s="12"/>
      <c r="I36" s="12"/>
    </row>
    <row r="37" spans="1:9" ht="87" x14ac:dyDescent="0.35">
      <c r="A37" s="10">
        <v>36</v>
      </c>
      <c r="B37" s="13" t="str">
        <f>"D"&amp;A37</f>
        <v>D36</v>
      </c>
      <c r="C37" s="18" t="s">
        <v>23</v>
      </c>
      <c r="D37" s="13" t="s">
        <v>24</v>
      </c>
      <c r="E37" s="18" t="s">
        <v>91</v>
      </c>
      <c r="F37" s="17" t="s">
        <v>92</v>
      </c>
      <c r="G37" s="8" t="str">
        <f>"D." &amp; LEFT(I37, FIND(".", I37)-1)</f>
        <v>D.7</v>
      </c>
      <c r="H37" s="17" t="s">
        <v>93</v>
      </c>
      <c r="I37" s="8" t="s">
        <v>94</v>
      </c>
    </row>
    <row r="38" spans="1:9" ht="87" x14ac:dyDescent="0.35">
      <c r="A38" s="10">
        <v>37</v>
      </c>
      <c r="B38" s="13" t="str">
        <f>"D"&amp;A38</f>
        <v>D37</v>
      </c>
      <c r="C38" s="18" t="s">
        <v>29</v>
      </c>
      <c r="D38" s="13" t="s">
        <v>24</v>
      </c>
      <c r="E38" s="18" t="s">
        <v>95</v>
      </c>
      <c r="F38" s="17" t="s">
        <v>96</v>
      </c>
      <c r="G38" s="8" t="str">
        <f>"D." &amp; LEFT(I38, FIND(".", I38)-1)</f>
        <v>D.7</v>
      </c>
      <c r="H38" s="17" t="s">
        <v>93</v>
      </c>
      <c r="I38" s="8" t="s">
        <v>97</v>
      </c>
    </row>
    <row r="39" spans="1:9" ht="72.5" x14ac:dyDescent="0.35">
      <c r="A39" s="10">
        <v>38</v>
      </c>
      <c r="B39" s="10" t="s">
        <v>98</v>
      </c>
      <c r="C39" s="12" t="s">
        <v>29</v>
      </c>
      <c r="D39" s="18" t="s">
        <v>24</v>
      </c>
      <c r="E39" s="12" t="s">
        <v>99</v>
      </c>
      <c r="F39" s="14"/>
      <c r="G39" s="14"/>
      <c r="H39" s="14"/>
      <c r="I39" s="14"/>
    </row>
    <row r="40" spans="1:9" ht="72.5" x14ac:dyDescent="0.35">
      <c r="A40" s="10">
        <v>39</v>
      </c>
      <c r="B40" s="13" t="str">
        <f>"D"&amp;A40</f>
        <v>D39</v>
      </c>
      <c r="C40" s="18" t="s">
        <v>29</v>
      </c>
      <c r="D40" s="13" t="s">
        <v>24</v>
      </c>
      <c r="E40" s="18" t="s">
        <v>100</v>
      </c>
      <c r="F40" s="17" t="s">
        <v>96</v>
      </c>
      <c r="G40" s="8" t="str">
        <f>"D." &amp; LEFT(I40, FIND(".", I40)-1)</f>
        <v>D.7</v>
      </c>
      <c r="H40" s="17" t="s">
        <v>93</v>
      </c>
      <c r="I40" s="8" t="s">
        <v>97</v>
      </c>
    </row>
    <row r="41" spans="1:9" ht="58" x14ac:dyDescent="0.35">
      <c r="A41" s="10">
        <v>40</v>
      </c>
      <c r="B41" s="13" t="str">
        <f>"D"&amp;A41</f>
        <v>D40</v>
      </c>
      <c r="C41" s="18" t="s">
        <v>29</v>
      </c>
      <c r="D41" s="13" t="s">
        <v>24</v>
      </c>
      <c r="E41" s="18" t="s">
        <v>101</v>
      </c>
      <c r="F41" s="17" t="s">
        <v>96</v>
      </c>
      <c r="G41" s="8" t="str">
        <f>"D." &amp; LEFT(I41, FIND(".", I41)-1)</f>
        <v>D.7</v>
      </c>
      <c r="H41" s="17" t="s">
        <v>93</v>
      </c>
      <c r="I41" s="8" t="s">
        <v>97</v>
      </c>
    </row>
    <row r="42" spans="1:9" ht="101.5" x14ac:dyDescent="0.35">
      <c r="A42" s="10">
        <v>41</v>
      </c>
      <c r="B42" s="10" t="s">
        <v>102</v>
      </c>
      <c r="C42" s="12" t="s">
        <v>29</v>
      </c>
      <c r="D42" s="18" t="s">
        <v>24</v>
      </c>
      <c r="E42" s="12" t="s">
        <v>103</v>
      </c>
      <c r="F42" s="12"/>
      <c r="G42" s="12"/>
      <c r="H42" s="12"/>
      <c r="I42" s="12"/>
    </row>
    <row r="43" spans="1:9" ht="43.5" x14ac:dyDescent="0.35">
      <c r="A43" s="10">
        <v>42</v>
      </c>
      <c r="B43" s="10" t="s">
        <v>104</v>
      </c>
      <c r="C43" s="12" t="s">
        <v>29</v>
      </c>
      <c r="D43" s="18" t="s">
        <v>24</v>
      </c>
      <c r="E43" s="12" t="s">
        <v>105</v>
      </c>
      <c r="F43" s="12"/>
      <c r="G43" s="12"/>
      <c r="H43" s="14"/>
      <c r="I43" s="14"/>
    </row>
    <row r="44" spans="1:9" ht="43.5" x14ac:dyDescent="0.35">
      <c r="A44" s="10">
        <v>43</v>
      </c>
      <c r="B44" s="13" t="str">
        <f>"D"&amp;A44</f>
        <v>D43</v>
      </c>
      <c r="C44" s="18" t="s">
        <v>29</v>
      </c>
      <c r="D44" s="13" t="s">
        <v>24</v>
      </c>
      <c r="E44" s="18" t="s">
        <v>106</v>
      </c>
      <c r="F44" s="17" t="s">
        <v>107</v>
      </c>
      <c r="G44" s="8" t="str">
        <f>"D." &amp; LEFT(I44, FIND(".", I44)-1)</f>
        <v>D.7</v>
      </c>
      <c r="H44" s="17" t="s">
        <v>93</v>
      </c>
      <c r="I44" s="8" t="s">
        <v>108</v>
      </c>
    </row>
    <row r="45" spans="1:9" ht="87" x14ac:dyDescent="0.35">
      <c r="A45" s="10">
        <v>44</v>
      </c>
      <c r="B45" s="13" t="str">
        <f>"D"&amp;A45</f>
        <v>D44</v>
      </c>
      <c r="C45" s="18" t="s">
        <v>29</v>
      </c>
      <c r="D45" s="13" t="s">
        <v>24</v>
      </c>
      <c r="E45" s="18" t="s">
        <v>109</v>
      </c>
      <c r="F45" s="17" t="s">
        <v>107</v>
      </c>
      <c r="G45" s="8" t="str">
        <f>"D." &amp; LEFT(I45, FIND(".", I45)-1)</f>
        <v>D.7</v>
      </c>
      <c r="H45" s="17" t="s">
        <v>93</v>
      </c>
      <c r="I45" s="8" t="s">
        <v>108</v>
      </c>
    </row>
    <row r="46" spans="1:9" ht="43.5" x14ac:dyDescent="0.35">
      <c r="A46" s="10">
        <v>45</v>
      </c>
      <c r="B46" s="13" t="str">
        <f>"D"&amp;A46</f>
        <v>D45</v>
      </c>
      <c r="C46" s="18" t="s">
        <v>29</v>
      </c>
      <c r="D46" s="13" t="s">
        <v>24</v>
      </c>
      <c r="E46" s="18" t="s">
        <v>110</v>
      </c>
      <c r="F46" s="17" t="s">
        <v>107</v>
      </c>
      <c r="G46" s="8" t="str">
        <f>"D." &amp; LEFT(I46, FIND(".", I46)-1)</f>
        <v>D.7</v>
      </c>
      <c r="H46" s="17" t="s">
        <v>93</v>
      </c>
      <c r="I46" s="8" t="s">
        <v>108</v>
      </c>
    </row>
    <row r="47" spans="1:9" ht="43.5" x14ac:dyDescent="0.35">
      <c r="A47" s="10">
        <v>46</v>
      </c>
      <c r="B47" s="13" t="str">
        <f>"D"&amp;A47</f>
        <v>D46</v>
      </c>
      <c r="C47" s="18" t="s">
        <v>29</v>
      </c>
      <c r="D47" s="13" t="s">
        <v>24</v>
      </c>
      <c r="E47" s="18" t="s">
        <v>111</v>
      </c>
      <c r="F47" s="17" t="s">
        <v>107</v>
      </c>
      <c r="G47" s="8" t="str">
        <f>"D." &amp; LEFT(I47, FIND(".", I47)-1)</f>
        <v>D.7</v>
      </c>
      <c r="H47" s="17" t="s">
        <v>93</v>
      </c>
      <c r="I47" s="8" t="s">
        <v>108</v>
      </c>
    </row>
    <row r="48" spans="1:9" ht="43.5" x14ac:dyDescent="0.35">
      <c r="A48" s="10">
        <v>47</v>
      </c>
      <c r="B48" s="10" t="s">
        <v>112</v>
      </c>
      <c r="C48" s="12" t="s">
        <v>29</v>
      </c>
      <c r="D48" s="18" t="s">
        <v>24</v>
      </c>
      <c r="E48" s="12" t="s">
        <v>113</v>
      </c>
      <c r="F48" s="12"/>
      <c r="G48" s="12"/>
      <c r="H48" s="12"/>
      <c r="I48" s="12"/>
    </row>
    <row r="49" spans="1:9" ht="72.5" x14ac:dyDescent="0.35">
      <c r="A49" s="10">
        <v>48</v>
      </c>
      <c r="B49" s="13" t="str">
        <f>"D"&amp;A49</f>
        <v>D48</v>
      </c>
      <c r="C49" s="18" t="s">
        <v>29</v>
      </c>
      <c r="D49" s="13" t="s">
        <v>24</v>
      </c>
      <c r="E49" s="18" t="s">
        <v>114</v>
      </c>
      <c r="F49" s="17" t="s">
        <v>115</v>
      </c>
      <c r="G49" s="8" t="str">
        <f>"D." &amp; LEFT(I49, FIND(".", I49)-1)</f>
        <v>D.7</v>
      </c>
      <c r="H49" s="17" t="s">
        <v>93</v>
      </c>
      <c r="I49" s="8" t="s">
        <v>116</v>
      </c>
    </row>
    <row r="50" spans="1:9" ht="43.5" x14ac:dyDescent="0.35">
      <c r="A50" s="10">
        <v>49</v>
      </c>
      <c r="B50" s="10" t="s">
        <v>117</v>
      </c>
      <c r="C50" s="12" t="s">
        <v>29</v>
      </c>
      <c r="D50" s="18" t="s">
        <v>24</v>
      </c>
      <c r="E50" s="12" t="s">
        <v>118</v>
      </c>
      <c r="F50" s="12"/>
      <c r="G50" s="12"/>
      <c r="H50" s="12"/>
      <c r="I50" s="12"/>
    </row>
    <row r="51" spans="1:9" ht="58" x14ac:dyDescent="0.35">
      <c r="A51" s="10">
        <v>50</v>
      </c>
      <c r="B51" s="10" t="s">
        <v>119</v>
      </c>
      <c r="C51" s="12" t="s">
        <v>29</v>
      </c>
      <c r="D51" s="18" t="s">
        <v>24</v>
      </c>
      <c r="E51" s="12" t="s">
        <v>120</v>
      </c>
      <c r="F51" s="12"/>
      <c r="G51" s="12"/>
      <c r="H51" s="12"/>
      <c r="I51" s="12"/>
    </row>
    <row r="52" spans="1:9" ht="58" x14ac:dyDescent="0.35">
      <c r="A52" s="12">
        <v>51</v>
      </c>
      <c r="B52" s="13" t="str">
        <f>"D"&amp;A52</f>
        <v>D51</v>
      </c>
      <c r="C52" s="18" t="s">
        <v>29</v>
      </c>
      <c r="D52" s="13" t="s">
        <v>24</v>
      </c>
      <c r="E52" s="18" t="s">
        <v>121</v>
      </c>
      <c r="F52" s="17" t="s">
        <v>122</v>
      </c>
      <c r="G52" s="8" t="str">
        <f>"D." &amp; LEFT(I52, FIND(".", I52)-1)</f>
        <v>D.7</v>
      </c>
      <c r="H52" s="17" t="s">
        <v>93</v>
      </c>
      <c r="I52" s="8" t="s">
        <v>123</v>
      </c>
    </row>
    <row r="53" spans="1:9" ht="58" x14ac:dyDescent="0.35">
      <c r="A53" s="10">
        <v>52</v>
      </c>
      <c r="B53" s="10" t="s">
        <v>124</v>
      </c>
      <c r="C53" s="12" t="s">
        <v>23</v>
      </c>
      <c r="D53" s="18" t="s">
        <v>24</v>
      </c>
      <c r="E53" s="12" t="s">
        <v>125</v>
      </c>
      <c r="F53" s="12"/>
      <c r="G53" s="12"/>
      <c r="H53" s="12"/>
      <c r="I53" s="12"/>
    </row>
    <row r="54" spans="1:9" ht="43.5" x14ac:dyDescent="0.35">
      <c r="A54" s="10">
        <v>53</v>
      </c>
      <c r="B54" s="13" t="str">
        <f>"D"&amp;A54</f>
        <v>D53</v>
      </c>
      <c r="C54" s="18" t="s">
        <v>29</v>
      </c>
      <c r="D54" s="13" t="s">
        <v>24</v>
      </c>
      <c r="E54" s="18" t="s">
        <v>126</v>
      </c>
      <c r="F54" s="17" t="s">
        <v>127</v>
      </c>
      <c r="G54" s="8" t="str">
        <f>"D." &amp; LEFT(I54, FIND(".", I54)-1)</f>
        <v>D.7</v>
      </c>
      <c r="H54" s="17" t="s">
        <v>93</v>
      </c>
      <c r="I54" s="8" t="s">
        <v>128</v>
      </c>
    </row>
    <row r="55" spans="1:9" ht="43.5" x14ac:dyDescent="0.35">
      <c r="A55" s="10">
        <v>54</v>
      </c>
      <c r="B55" s="10" t="s">
        <v>129</v>
      </c>
      <c r="C55" s="12" t="s">
        <v>23</v>
      </c>
      <c r="D55" s="18" t="s">
        <v>24</v>
      </c>
      <c r="E55" s="12" t="s">
        <v>130</v>
      </c>
      <c r="F55" s="12"/>
      <c r="G55" s="12"/>
      <c r="H55" s="12"/>
      <c r="I55" s="12"/>
    </row>
    <row r="56" spans="1:9" ht="29" x14ac:dyDescent="0.35">
      <c r="A56" s="10">
        <v>55</v>
      </c>
      <c r="B56" s="10" t="s">
        <v>131</v>
      </c>
      <c r="C56" s="12" t="s">
        <v>23</v>
      </c>
      <c r="D56" s="18" t="s">
        <v>24</v>
      </c>
      <c r="E56" s="12" t="s">
        <v>132</v>
      </c>
      <c r="F56" s="12"/>
      <c r="G56" s="12"/>
      <c r="H56" s="12"/>
      <c r="I56" s="12"/>
    </row>
    <row r="57" spans="1:9" ht="29" x14ac:dyDescent="0.35">
      <c r="A57" s="10">
        <v>56</v>
      </c>
      <c r="B57" s="10" t="s">
        <v>133</v>
      </c>
      <c r="C57" s="12" t="s">
        <v>23</v>
      </c>
      <c r="D57" s="18" t="s">
        <v>24</v>
      </c>
      <c r="E57" s="12" t="s">
        <v>134</v>
      </c>
      <c r="F57" s="12"/>
      <c r="G57" s="12"/>
      <c r="H57" s="12"/>
      <c r="I57" s="12"/>
    </row>
    <row r="58" spans="1:9" ht="58" x14ac:dyDescent="0.35">
      <c r="A58" s="10">
        <v>57</v>
      </c>
      <c r="B58" s="13" t="str">
        <f>"D"&amp;A58</f>
        <v>D57</v>
      </c>
      <c r="C58" s="18" t="s">
        <v>29</v>
      </c>
      <c r="D58" s="13" t="s">
        <v>24</v>
      </c>
      <c r="E58" s="18" t="s">
        <v>135</v>
      </c>
      <c r="F58" s="17" t="s">
        <v>136</v>
      </c>
      <c r="G58" s="8" t="str">
        <f>"D." &amp; LEFT(I58, FIND(".", I58)-1)</f>
        <v>D.7</v>
      </c>
      <c r="H58" s="17" t="s">
        <v>93</v>
      </c>
      <c r="I58" s="8" t="s">
        <v>137</v>
      </c>
    </row>
    <row r="59" spans="1:9" ht="29" x14ac:dyDescent="0.35">
      <c r="A59" s="10">
        <v>58</v>
      </c>
      <c r="B59" s="13" t="str">
        <f>"D"&amp;A59</f>
        <v>D58</v>
      </c>
      <c r="C59" s="18" t="s">
        <v>23</v>
      </c>
      <c r="D59" s="13" t="s">
        <v>24</v>
      </c>
      <c r="E59" s="18" t="s">
        <v>138</v>
      </c>
      <c r="F59" s="17" t="s">
        <v>139</v>
      </c>
      <c r="G59" s="8" t="str">
        <f>"D." &amp; LEFT(I59, FIND(".", I59)-1)</f>
        <v>D.7</v>
      </c>
      <c r="H59" s="17" t="s">
        <v>93</v>
      </c>
      <c r="I59" s="8" t="s">
        <v>140</v>
      </c>
    </row>
    <row r="60" spans="1:9" ht="29" x14ac:dyDescent="0.35">
      <c r="A60" s="8">
        <v>59</v>
      </c>
      <c r="B60" s="13" t="str">
        <f>"D"&amp;A60</f>
        <v>D59</v>
      </c>
      <c r="C60" s="18" t="s">
        <v>29</v>
      </c>
      <c r="D60" s="13" t="s">
        <v>24</v>
      </c>
      <c r="E60" s="18" t="s">
        <v>141</v>
      </c>
      <c r="F60" s="17" t="s">
        <v>142</v>
      </c>
      <c r="G60" s="8" t="str">
        <f>"D." &amp; LEFT(I60, FIND(".", I60)-1)</f>
        <v>D.8</v>
      </c>
      <c r="H60" s="17" t="s">
        <v>143</v>
      </c>
      <c r="I60" s="8" t="s">
        <v>144</v>
      </c>
    </row>
    <row r="61" spans="1:9" ht="58" x14ac:dyDescent="0.35">
      <c r="A61" s="8">
        <v>60</v>
      </c>
      <c r="B61" s="13" t="str">
        <f>"D"&amp;A61</f>
        <v>D60</v>
      </c>
      <c r="C61" s="18" t="s">
        <v>23</v>
      </c>
      <c r="D61" s="13" t="s">
        <v>24</v>
      </c>
      <c r="E61" s="18" t="s">
        <v>145</v>
      </c>
      <c r="F61" s="17" t="s">
        <v>142</v>
      </c>
      <c r="G61" s="8" t="str">
        <f>"D." &amp; LEFT(I61, FIND(".", I61)-1)</f>
        <v>D.8</v>
      </c>
      <c r="H61" s="17" t="s">
        <v>143</v>
      </c>
      <c r="I61" s="8" t="s">
        <v>144</v>
      </c>
    </row>
    <row r="62" spans="1:9" ht="43.5" x14ac:dyDescent="0.35">
      <c r="A62" s="8">
        <v>61</v>
      </c>
      <c r="B62" s="13" t="str">
        <f>"D"&amp;A62</f>
        <v>D61</v>
      </c>
      <c r="C62" s="18" t="s">
        <v>23</v>
      </c>
      <c r="D62" s="13" t="s">
        <v>24</v>
      </c>
      <c r="E62" s="18" t="s">
        <v>146</v>
      </c>
      <c r="F62" s="17" t="s">
        <v>142</v>
      </c>
      <c r="G62" s="8" t="str">
        <f>"D." &amp; LEFT(I62, FIND(".", I62)-1)</f>
        <v>D.8</v>
      </c>
      <c r="H62" s="17" t="s">
        <v>143</v>
      </c>
      <c r="I62" s="8" t="s">
        <v>144</v>
      </c>
    </row>
    <row r="63" spans="1:9" ht="72.5" x14ac:dyDescent="0.35">
      <c r="A63" s="8">
        <v>62</v>
      </c>
      <c r="B63" s="10" t="s">
        <v>147</v>
      </c>
      <c r="C63" s="12" t="s">
        <v>23</v>
      </c>
      <c r="D63" s="18" t="s">
        <v>24</v>
      </c>
      <c r="E63" s="12" t="s">
        <v>148</v>
      </c>
      <c r="F63" s="12"/>
      <c r="G63" s="12"/>
      <c r="H63" s="12"/>
      <c r="I63" s="12"/>
    </row>
    <row r="64" spans="1:9" ht="58" x14ac:dyDescent="0.35">
      <c r="A64" s="8">
        <v>63</v>
      </c>
      <c r="B64" s="13" t="str">
        <f>"D"&amp;A64</f>
        <v>D63</v>
      </c>
      <c r="C64" s="18" t="s">
        <v>23</v>
      </c>
      <c r="D64" s="13" t="s">
        <v>24</v>
      </c>
      <c r="E64" s="18" t="s">
        <v>149</v>
      </c>
      <c r="F64" s="17" t="s">
        <v>150</v>
      </c>
      <c r="G64" s="8" t="str">
        <f>"D." &amp; LEFT(I64, FIND(".", I64)-1)</f>
        <v>D.8</v>
      </c>
      <c r="H64" s="17" t="s">
        <v>143</v>
      </c>
      <c r="I64" s="8" t="s">
        <v>151</v>
      </c>
    </row>
    <row r="65" spans="1:9" ht="72.5" x14ac:dyDescent="0.35">
      <c r="A65" s="8">
        <v>64</v>
      </c>
      <c r="B65" s="10" t="s">
        <v>152</v>
      </c>
      <c r="C65" s="12" t="s">
        <v>29</v>
      </c>
      <c r="D65" s="18" t="s">
        <v>24</v>
      </c>
      <c r="E65" s="12" t="s">
        <v>153</v>
      </c>
      <c r="F65" s="12"/>
      <c r="G65" s="12"/>
      <c r="H65" s="12"/>
      <c r="I65" s="12"/>
    </row>
    <row r="66" spans="1:9" ht="72.5" x14ac:dyDescent="0.35">
      <c r="A66" s="8">
        <v>65</v>
      </c>
      <c r="B66" s="13" t="str">
        <f>"D"&amp;A66</f>
        <v>D65</v>
      </c>
      <c r="C66" s="18" t="s">
        <v>23</v>
      </c>
      <c r="D66" s="13" t="s">
        <v>24</v>
      </c>
      <c r="E66" s="18" t="s">
        <v>154</v>
      </c>
      <c r="F66" s="17" t="s">
        <v>155</v>
      </c>
      <c r="G66" s="8" t="str">
        <f>"D." &amp; LEFT(I66, FIND(".", I66)-1)</f>
        <v>D.8</v>
      </c>
      <c r="H66" s="17" t="s">
        <v>143</v>
      </c>
      <c r="I66" s="8" t="s">
        <v>156</v>
      </c>
    </row>
    <row r="67" spans="1:9" ht="72.5" x14ac:dyDescent="0.35">
      <c r="A67" s="8">
        <v>66</v>
      </c>
      <c r="B67" s="13" t="str">
        <f>"D"&amp;A67</f>
        <v>D66</v>
      </c>
      <c r="C67" s="18" t="s">
        <v>23</v>
      </c>
      <c r="D67" s="13" t="s">
        <v>24</v>
      </c>
      <c r="E67" s="18" t="s">
        <v>157</v>
      </c>
      <c r="F67" s="17" t="s">
        <v>155</v>
      </c>
      <c r="G67" s="8" t="str">
        <f>"D." &amp; LEFT(I67, FIND(".", I67)-1)</f>
        <v>D.8</v>
      </c>
      <c r="H67" s="17" t="s">
        <v>143</v>
      </c>
      <c r="I67" s="8" t="s">
        <v>156</v>
      </c>
    </row>
    <row r="68" spans="1:9" ht="58" x14ac:dyDescent="0.35">
      <c r="A68" s="13">
        <v>67</v>
      </c>
      <c r="B68" s="10" t="s">
        <v>158</v>
      </c>
      <c r="C68" s="12" t="s">
        <v>23</v>
      </c>
      <c r="D68" s="18" t="s">
        <v>24</v>
      </c>
      <c r="E68" s="12" t="s">
        <v>159</v>
      </c>
      <c r="F68" s="12"/>
      <c r="G68" s="12"/>
      <c r="H68" s="12"/>
      <c r="I68" s="12"/>
    </row>
    <row r="69" spans="1:9" ht="58" x14ac:dyDescent="0.35">
      <c r="A69" s="8">
        <v>68</v>
      </c>
      <c r="B69" s="13" t="str">
        <f>"D"&amp;A69</f>
        <v>D68</v>
      </c>
      <c r="C69" s="18" t="s">
        <v>29</v>
      </c>
      <c r="D69" s="13" t="s">
        <v>24</v>
      </c>
      <c r="E69" s="18" t="s">
        <v>160</v>
      </c>
      <c r="F69" s="17" t="s">
        <v>161</v>
      </c>
      <c r="G69" s="8" t="str">
        <f>"D." &amp; LEFT(I69, FIND(".", I69)-1)</f>
        <v>D.8</v>
      </c>
      <c r="H69" s="17" t="s">
        <v>143</v>
      </c>
      <c r="I69" s="8" t="s">
        <v>162</v>
      </c>
    </row>
    <row r="70" spans="1:9" x14ac:dyDescent="0.35">
      <c r="A70" s="8">
        <v>69</v>
      </c>
      <c r="B70" s="10" t="s">
        <v>163</v>
      </c>
      <c r="C70" s="12" t="s">
        <v>23</v>
      </c>
      <c r="D70" s="18" t="s">
        <v>24</v>
      </c>
      <c r="E70" s="12" t="s">
        <v>164</v>
      </c>
      <c r="F70" s="12"/>
      <c r="G70" s="12"/>
      <c r="H70" s="12"/>
      <c r="I70" s="12"/>
    </row>
    <row r="71" spans="1:9" ht="58" x14ac:dyDescent="0.35">
      <c r="A71" s="8">
        <v>70</v>
      </c>
      <c r="B71" s="13" t="str">
        <f>"D"&amp;A71</f>
        <v>D70</v>
      </c>
      <c r="C71" s="18" t="s">
        <v>23</v>
      </c>
      <c r="D71" s="13" t="s">
        <v>24</v>
      </c>
      <c r="E71" s="18" t="s">
        <v>165</v>
      </c>
      <c r="F71" s="17" t="s">
        <v>166</v>
      </c>
      <c r="G71" s="8" t="str">
        <f>"D." &amp; LEFT(I71, FIND(".", I71)-1)</f>
        <v>D.8</v>
      </c>
      <c r="H71" s="17" t="s">
        <v>143</v>
      </c>
      <c r="I71" s="8" t="s">
        <v>167</v>
      </c>
    </row>
    <row r="72" spans="1:9" ht="58" x14ac:dyDescent="0.35">
      <c r="A72" s="8">
        <v>71</v>
      </c>
      <c r="B72" s="13" t="str">
        <f>"D"&amp;A72</f>
        <v>D71</v>
      </c>
      <c r="C72" s="18" t="s">
        <v>23</v>
      </c>
      <c r="D72" s="13" t="s">
        <v>24</v>
      </c>
      <c r="E72" s="18" t="s">
        <v>168</v>
      </c>
      <c r="F72" s="17" t="s">
        <v>169</v>
      </c>
      <c r="G72" s="8" t="str">
        <f>"D." &amp; LEFT(I72, FIND(".", I72)-1)</f>
        <v>D.8</v>
      </c>
      <c r="H72" s="17" t="s">
        <v>143</v>
      </c>
      <c r="I72" s="8" t="s">
        <v>170</v>
      </c>
    </row>
    <row r="73" spans="1:9" ht="116" x14ac:dyDescent="0.35">
      <c r="A73" s="8">
        <v>72</v>
      </c>
      <c r="B73" s="13" t="str">
        <f>"D"&amp;A73</f>
        <v>D72</v>
      </c>
      <c r="C73" s="18" t="s">
        <v>29</v>
      </c>
      <c r="D73" s="13" t="s">
        <v>24</v>
      </c>
      <c r="E73" s="18" t="s">
        <v>171</v>
      </c>
      <c r="F73" s="17" t="s">
        <v>172</v>
      </c>
      <c r="G73" s="8" t="str">
        <f>"D." &amp; LEFT(I73, FIND(".", I73)-1)</f>
        <v>D.8</v>
      </c>
      <c r="H73" s="17" t="s">
        <v>143</v>
      </c>
      <c r="I73" s="8" t="s">
        <v>173</v>
      </c>
    </row>
    <row r="74" spans="1:9" ht="43.5" x14ac:dyDescent="0.35">
      <c r="A74" s="13">
        <v>73</v>
      </c>
      <c r="B74" s="10" t="s">
        <v>174</v>
      </c>
      <c r="C74" s="12" t="s">
        <v>23</v>
      </c>
      <c r="D74" s="18" t="s">
        <v>24</v>
      </c>
      <c r="E74" s="12" t="s">
        <v>175</v>
      </c>
      <c r="F74" s="12"/>
      <c r="G74" s="12"/>
      <c r="H74" s="12"/>
      <c r="I74" s="12"/>
    </row>
    <row r="75" spans="1:9" x14ac:dyDescent="0.35">
      <c r="A75" s="13">
        <v>74</v>
      </c>
      <c r="B75" s="10" t="s">
        <v>177</v>
      </c>
      <c r="C75" s="12" t="s">
        <v>23</v>
      </c>
      <c r="D75" s="18" t="s">
        <v>24</v>
      </c>
      <c r="E75" s="12" t="s">
        <v>178</v>
      </c>
      <c r="F75" s="12"/>
      <c r="G75" s="12"/>
      <c r="H75" s="12"/>
      <c r="I75" s="12"/>
    </row>
    <row r="76" spans="1:9" ht="58" x14ac:dyDescent="0.35">
      <c r="A76" s="13">
        <v>75</v>
      </c>
      <c r="B76" s="10" t="s">
        <v>179</v>
      </c>
      <c r="C76" s="12" t="s">
        <v>29</v>
      </c>
      <c r="D76" s="18" t="s">
        <v>24</v>
      </c>
      <c r="E76" s="12" t="s">
        <v>180</v>
      </c>
      <c r="F76" s="12"/>
      <c r="G76" s="12"/>
      <c r="H76" s="12"/>
      <c r="I76" s="12"/>
    </row>
    <row r="77" spans="1:9" ht="72.5" x14ac:dyDescent="0.35">
      <c r="A77" s="13">
        <v>76</v>
      </c>
      <c r="B77" s="13" t="str">
        <f>"D"&amp;A77</f>
        <v>D76</v>
      </c>
      <c r="C77" s="18" t="s">
        <v>23</v>
      </c>
      <c r="D77" s="13" t="s">
        <v>24</v>
      </c>
      <c r="E77" s="18" t="s">
        <v>181</v>
      </c>
      <c r="F77" s="17" t="s">
        <v>182</v>
      </c>
      <c r="G77" s="8" t="str">
        <f>"D." &amp; LEFT(I77, FIND(".", I77)-1)</f>
        <v>D.9</v>
      </c>
      <c r="H77" s="17" t="s">
        <v>176</v>
      </c>
      <c r="I77" s="8" t="s">
        <v>183</v>
      </c>
    </row>
    <row r="78" spans="1:9" ht="43.5" x14ac:dyDescent="0.35">
      <c r="A78" s="13">
        <v>77</v>
      </c>
      <c r="B78" s="13" t="str">
        <f>"D"&amp;A78</f>
        <v>D77</v>
      </c>
      <c r="C78" s="18" t="s">
        <v>23</v>
      </c>
      <c r="D78" s="18" t="s">
        <v>24</v>
      </c>
      <c r="E78" s="18" t="s">
        <v>184</v>
      </c>
      <c r="F78" s="19" t="s">
        <v>185</v>
      </c>
      <c r="G78" s="16" t="str">
        <f>"D." &amp; LEFT(I78, FIND(".", I78)-1)</f>
        <v>D.9</v>
      </c>
      <c r="H78" s="18" t="s">
        <v>176</v>
      </c>
      <c r="I78" s="16" t="s">
        <v>186</v>
      </c>
    </row>
    <row r="79" spans="1:9" ht="58" x14ac:dyDescent="0.35">
      <c r="A79" s="8">
        <v>78</v>
      </c>
      <c r="B79" s="10" t="s">
        <v>187</v>
      </c>
      <c r="C79" s="12" t="s">
        <v>29</v>
      </c>
      <c r="D79" s="18" t="s">
        <v>24</v>
      </c>
      <c r="E79" s="12" t="s">
        <v>188</v>
      </c>
      <c r="F79" s="12"/>
      <c r="G79" s="12"/>
      <c r="H79" s="12"/>
      <c r="I79" s="12"/>
    </row>
    <row r="80" spans="1:9" ht="43.5" x14ac:dyDescent="0.35">
      <c r="A80" s="13">
        <v>79</v>
      </c>
      <c r="B80" s="13" t="str">
        <f>"D"&amp;A80</f>
        <v>D79</v>
      </c>
      <c r="C80" s="18" t="s">
        <v>23</v>
      </c>
      <c r="D80" s="13" t="s">
        <v>24</v>
      </c>
      <c r="E80" s="18" t="s">
        <v>189</v>
      </c>
      <c r="F80" s="17" t="s">
        <v>185</v>
      </c>
      <c r="G80" s="8" t="str">
        <f>"D." &amp; LEFT(I80, FIND(".", I80)-1)</f>
        <v>D.9</v>
      </c>
      <c r="H80" s="17" t="s">
        <v>176</v>
      </c>
      <c r="I80" s="8" t="s">
        <v>186</v>
      </c>
    </row>
    <row r="81" spans="1:9" ht="43.5" x14ac:dyDescent="0.35">
      <c r="A81" s="8">
        <v>80</v>
      </c>
      <c r="B81" s="10" t="s">
        <v>190</v>
      </c>
      <c r="C81" s="12" t="s">
        <v>23</v>
      </c>
      <c r="D81" s="18" t="s">
        <v>24</v>
      </c>
      <c r="E81" s="12" t="s">
        <v>191</v>
      </c>
      <c r="F81" s="12"/>
      <c r="G81" s="12"/>
      <c r="H81" s="12"/>
      <c r="I81" s="12"/>
    </row>
    <row r="82" spans="1:9" ht="29" x14ac:dyDescent="0.35">
      <c r="A82" s="8">
        <v>81</v>
      </c>
      <c r="B82" s="10" t="s">
        <v>192</v>
      </c>
      <c r="C82" s="12" t="s">
        <v>23</v>
      </c>
      <c r="D82" s="18" t="s">
        <v>24</v>
      </c>
      <c r="E82" s="12" t="s">
        <v>193</v>
      </c>
      <c r="F82" s="12"/>
      <c r="G82" s="12"/>
      <c r="H82" s="12"/>
      <c r="I82" s="12"/>
    </row>
    <row r="83" spans="1:9" ht="43.5" x14ac:dyDescent="0.35">
      <c r="A83" s="8">
        <v>82</v>
      </c>
      <c r="B83" s="10" t="s">
        <v>194</v>
      </c>
      <c r="C83" s="12" t="s">
        <v>23</v>
      </c>
      <c r="D83" s="18" t="s">
        <v>24</v>
      </c>
      <c r="E83" s="12" t="s">
        <v>195</v>
      </c>
      <c r="F83" s="12"/>
      <c r="G83" s="12"/>
      <c r="H83" s="15"/>
      <c r="I83" s="12"/>
    </row>
    <row r="84" spans="1:9" ht="29" x14ac:dyDescent="0.35">
      <c r="A84" s="8">
        <v>83</v>
      </c>
      <c r="B84" s="10" t="s">
        <v>196</v>
      </c>
      <c r="C84" s="12" t="s">
        <v>23</v>
      </c>
      <c r="D84" s="18" t="s">
        <v>24</v>
      </c>
      <c r="E84" s="12" t="s">
        <v>197</v>
      </c>
      <c r="F84" s="12"/>
      <c r="G84" s="12"/>
      <c r="H84" s="12"/>
      <c r="I84" s="12"/>
    </row>
    <row r="85" spans="1:9" ht="58" x14ac:dyDescent="0.35">
      <c r="A85" s="8">
        <v>84</v>
      </c>
      <c r="B85" s="10" t="s">
        <v>198</v>
      </c>
      <c r="C85" s="12" t="s">
        <v>29</v>
      </c>
      <c r="D85" s="18" t="s">
        <v>24</v>
      </c>
      <c r="E85" s="12" t="s">
        <v>199</v>
      </c>
      <c r="F85" s="12"/>
      <c r="G85" s="12"/>
      <c r="H85" s="12"/>
      <c r="I85" s="12"/>
    </row>
    <row r="86" spans="1:9" ht="43.5" x14ac:dyDescent="0.35">
      <c r="A86" s="8">
        <v>85</v>
      </c>
      <c r="B86" s="10" t="s">
        <v>200</v>
      </c>
      <c r="C86" s="12" t="s">
        <v>29</v>
      </c>
      <c r="D86" s="18" t="s">
        <v>24</v>
      </c>
      <c r="E86" s="12" t="s">
        <v>201</v>
      </c>
      <c r="F86" s="12"/>
      <c r="G86" s="12"/>
      <c r="H86" s="12"/>
      <c r="I86" s="12"/>
    </row>
    <row r="87" spans="1:9" ht="29" x14ac:dyDescent="0.35">
      <c r="A87" s="8">
        <v>86</v>
      </c>
      <c r="B87" s="10" t="s">
        <v>202</v>
      </c>
      <c r="C87" s="12" t="s">
        <v>29</v>
      </c>
      <c r="D87" s="18" t="s">
        <v>24</v>
      </c>
      <c r="E87" s="12" t="s">
        <v>203</v>
      </c>
      <c r="F87" s="12"/>
      <c r="G87" s="12"/>
      <c r="H87" s="12"/>
      <c r="I87" s="12"/>
    </row>
    <row r="88" spans="1:9" ht="58" x14ac:dyDescent="0.35">
      <c r="A88" s="8">
        <v>87</v>
      </c>
      <c r="B88" s="10" t="s">
        <v>204</v>
      </c>
      <c r="C88" s="12" t="s">
        <v>23</v>
      </c>
      <c r="D88" s="18" t="s">
        <v>24</v>
      </c>
      <c r="E88" s="12" t="s">
        <v>205</v>
      </c>
      <c r="F88" s="12"/>
      <c r="G88" s="12"/>
      <c r="H88" s="12"/>
      <c r="I88" s="12"/>
    </row>
    <row r="89" spans="1:9" ht="29" x14ac:dyDescent="0.35">
      <c r="A89" s="8">
        <v>88</v>
      </c>
      <c r="B89" s="10" t="s">
        <v>206</v>
      </c>
      <c r="C89" s="12" t="s">
        <v>23</v>
      </c>
      <c r="D89" s="18" t="s">
        <v>24</v>
      </c>
      <c r="E89" s="12" t="s">
        <v>207</v>
      </c>
      <c r="F89" s="12"/>
      <c r="G89" s="12"/>
      <c r="H89" s="12"/>
      <c r="I89" s="12"/>
    </row>
    <row r="90" spans="1:9" ht="43.5" x14ac:dyDescent="0.35">
      <c r="A90" s="13">
        <v>89</v>
      </c>
      <c r="B90" s="13" t="str">
        <f>"D"&amp;A90</f>
        <v>D89</v>
      </c>
      <c r="C90" s="18" t="s">
        <v>23</v>
      </c>
      <c r="D90" s="13" t="s">
        <v>24</v>
      </c>
      <c r="E90" s="18" t="s">
        <v>208</v>
      </c>
      <c r="F90" s="17" t="s">
        <v>209</v>
      </c>
      <c r="G90" s="8" t="str">
        <f>"D." &amp; LEFT(I90, FIND(".", I90)-1)</f>
        <v>D.9</v>
      </c>
      <c r="H90" s="17" t="s">
        <v>176</v>
      </c>
      <c r="I90" s="8" t="s">
        <v>210</v>
      </c>
    </row>
    <row r="91" spans="1:9" ht="43.5" x14ac:dyDescent="0.35">
      <c r="A91" s="8">
        <v>90</v>
      </c>
      <c r="B91" s="13" t="str">
        <f>"D"&amp;A91</f>
        <v>D90</v>
      </c>
      <c r="C91" s="18" t="s">
        <v>23</v>
      </c>
      <c r="D91" s="13" t="s">
        <v>24</v>
      </c>
      <c r="E91" s="18" t="s">
        <v>211</v>
      </c>
      <c r="F91" s="17" t="s">
        <v>212</v>
      </c>
      <c r="G91" s="8" t="str">
        <f>"D." &amp; LEFT(I91, FIND(".", I91)-1)</f>
        <v>D.11</v>
      </c>
      <c r="H91" s="17" t="s">
        <v>213</v>
      </c>
      <c r="I91" s="8" t="s">
        <v>214</v>
      </c>
    </row>
    <row r="92" spans="1:9" ht="29" x14ac:dyDescent="0.35">
      <c r="A92" s="8">
        <v>91</v>
      </c>
      <c r="B92" s="10" t="str">
        <f>"D"&amp;A92</f>
        <v>D91</v>
      </c>
      <c r="C92" s="12" t="s">
        <v>23</v>
      </c>
      <c r="D92" s="18" t="s">
        <v>24</v>
      </c>
      <c r="E92" s="12" t="s">
        <v>215</v>
      </c>
      <c r="F92" s="12"/>
      <c r="G92" s="12"/>
      <c r="H92" s="12"/>
      <c r="I92" s="12"/>
    </row>
    <row r="93" spans="1:9" ht="29" x14ac:dyDescent="0.35">
      <c r="A93" s="13">
        <v>92</v>
      </c>
      <c r="B93" s="10" t="s">
        <v>216</v>
      </c>
      <c r="C93" s="12" t="s">
        <v>29</v>
      </c>
      <c r="D93" s="18" t="s">
        <v>24</v>
      </c>
      <c r="E93" s="12" t="s">
        <v>217</v>
      </c>
      <c r="F93" s="12"/>
      <c r="G93" s="12"/>
      <c r="H93" s="12"/>
      <c r="I93" s="12"/>
    </row>
    <row r="94" spans="1:9" ht="43.5" x14ac:dyDescent="0.35">
      <c r="A94" s="8">
        <v>93</v>
      </c>
      <c r="B94" s="13" t="str">
        <f>"D"&amp;A94</f>
        <v>D93</v>
      </c>
      <c r="C94" s="18" t="s">
        <v>23</v>
      </c>
      <c r="D94" s="13" t="s">
        <v>24</v>
      </c>
      <c r="E94" s="18" t="s">
        <v>218</v>
      </c>
      <c r="F94" s="19" t="s">
        <v>219</v>
      </c>
      <c r="G94" s="8" t="str">
        <f>"D." &amp; LEFT(I94, FIND(".", I94)-1)</f>
        <v>D.11</v>
      </c>
      <c r="H94" s="18"/>
      <c r="I94" s="16" t="s">
        <v>220</v>
      </c>
    </row>
    <row r="95" spans="1:9" ht="43.5" x14ac:dyDescent="0.35">
      <c r="A95" s="8">
        <v>94</v>
      </c>
      <c r="B95" s="10" t="s">
        <v>221</v>
      </c>
      <c r="C95" s="12" t="s">
        <v>23</v>
      </c>
      <c r="D95" s="18" t="s">
        <v>24</v>
      </c>
      <c r="E95" s="12" t="s">
        <v>222</v>
      </c>
      <c r="F95" s="12"/>
      <c r="G95" s="12"/>
      <c r="H95" s="12"/>
      <c r="I95" s="12"/>
    </row>
    <row r="96" spans="1:9" ht="43.5" x14ac:dyDescent="0.35">
      <c r="A96" s="8">
        <v>95</v>
      </c>
      <c r="B96" s="10" t="s">
        <v>223</v>
      </c>
      <c r="C96" s="12" t="s">
        <v>23</v>
      </c>
      <c r="D96" s="18" t="s">
        <v>24</v>
      </c>
      <c r="E96" s="12" t="s">
        <v>224</v>
      </c>
      <c r="F96" s="12"/>
      <c r="G96" s="12"/>
      <c r="H96" s="12"/>
      <c r="I96" s="12"/>
    </row>
    <row r="97" spans="1:9" ht="72.5" x14ac:dyDescent="0.35">
      <c r="A97" s="8">
        <v>96</v>
      </c>
      <c r="B97" s="10" t="s">
        <v>225</v>
      </c>
      <c r="C97" s="12" t="s">
        <v>23</v>
      </c>
      <c r="D97" s="18" t="s">
        <v>24</v>
      </c>
      <c r="E97" s="12" t="s">
        <v>226</v>
      </c>
      <c r="F97" s="12"/>
      <c r="G97" s="12"/>
      <c r="H97" s="12"/>
      <c r="I97" s="12"/>
    </row>
    <row r="98" spans="1:9" ht="72.5" x14ac:dyDescent="0.35">
      <c r="A98" s="8">
        <v>97</v>
      </c>
      <c r="B98" s="10" t="s">
        <v>227</v>
      </c>
      <c r="C98" s="12" t="s">
        <v>23</v>
      </c>
      <c r="D98" s="18" t="s">
        <v>24</v>
      </c>
      <c r="E98" s="12" t="s">
        <v>228</v>
      </c>
      <c r="F98" s="12"/>
      <c r="G98" s="12"/>
      <c r="H98" s="12"/>
      <c r="I98" s="12"/>
    </row>
    <row r="99" spans="1:9" ht="43.5" x14ac:dyDescent="0.35">
      <c r="A99" s="8">
        <v>98</v>
      </c>
      <c r="B99" s="13" t="str">
        <f>"D"&amp;A99</f>
        <v>D98</v>
      </c>
      <c r="C99" s="18" t="s">
        <v>23</v>
      </c>
      <c r="D99" s="13" t="s">
        <v>24</v>
      </c>
      <c r="E99" s="18" t="s">
        <v>229</v>
      </c>
      <c r="F99" s="17" t="s">
        <v>230</v>
      </c>
      <c r="G99" s="8" t="str">
        <f>"D." &amp; LEFT(I99, FIND(".", I99)-1)</f>
        <v>D.12</v>
      </c>
      <c r="H99" s="17" t="s">
        <v>231</v>
      </c>
      <c r="I99" s="8" t="s">
        <v>232</v>
      </c>
    </row>
    <row r="100" spans="1:9" ht="43.5" x14ac:dyDescent="0.35">
      <c r="A100" s="8">
        <v>99</v>
      </c>
      <c r="B100" s="10" t="s">
        <v>233</v>
      </c>
      <c r="C100" s="12" t="s">
        <v>29</v>
      </c>
      <c r="D100" s="18" t="s">
        <v>24</v>
      </c>
      <c r="E100" s="12" t="s">
        <v>234</v>
      </c>
      <c r="F100" s="12" t="s">
        <v>235</v>
      </c>
      <c r="G100" s="12" t="s">
        <v>27</v>
      </c>
      <c r="H100" s="12" t="s">
        <v>26</v>
      </c>
      <c r="I100" s="12"/>
    </row>
    <row r="101" spans="1:9" ht="29" x14ac:dyDescent="0.35">
      <c r="A101" s="8">
        <v>100</v>
      </c>
      <c r="B101" s="13" t="str">
        <f>"D"&amp;A101</f>
        <v>D100</v>
      </c>
      <c r="C101" s="18" t="s">
        <v>23</v>
      </c>
      <c r="D101" s="13" t="s">
        <v>24</v>
      </c>
      <c r="E101" s="18" t="s">
        <v>236</v>
      </c>
      <c r="F101" s="17" t="s">
        <v>237</v>
      </c>
      <c r="G101" s="8" t="str">
        <f>"D." &amp; LEFT(I101, FIND(".", I101)-1)</f>
        <v>D.12</v>
      </c>
      <c r="H101" s="17" t="s">
        <v>231</v>
      </c>
      <c r="I101" s="8" t="s">
        <v>238</v>
      </c>
    </row>
    <row r="102" spans="1:9" ht="29" x14ac:dyDescent="0.35">
      <c r="A102" s="8">
        <v>101</v>
      </c>
      <c r="B102" s="10" t="s">
        <v>239</v>
      </c>
      <c r="C102" s="12" t="s">
        <v>29</v>
      </c>
      <c r="D102" s="18" t="s">
        <v>24</v>
      </c>
      <c r="E102" s="12" t="s">
        <v>240</v>
      </c>
      <c r="F102" s="12"/>
      <c r="G102" s="12"/>
      <c r="H102" s="12"/>
      <c r="I102" s="12"/>
    </row>
    <row r="103" spans="1:9" ht="29" x14ac:dyDescent="0.35">
      <c r="A103" s="8">
        <v>102</v>
      </c>
      <c r="B103" s="10" t="str">
        <f>"D"&amp;A103</f>
        <v>D102</v>
      </c>
      <c r="C103" s="12" t="s">
        <v>29</v>
      </c>
      <c r="D103" s="18" t="s">
        <v>24</v>
      </c>
      <c r="E103" s="22" t="s">
        <v>241</v>
      </c>
      <c r="F103" s="12"/>
      <c r="G103" s="12"/>
      <c r="H103" s="12"/>
      <c r="I103" s="12"/>
    </row>
    <row r="104" spans="1:9" ht="29" x14ac:dyDescent="0.35">
      <c r="A104" s="8">
        <v>103</v>
      </c>
      <c r="B104" s="10" t="str">
        <f t="shared" ref="B104:B114" si="0">"D"&amp;A104</f>
        <v>D103</v>
      </c>
      <c r="C104" s="12" t="s">
        <v>29</v>
      </c>
      <c r="D104" s="18" t="s">
        <v>24</v>
      </c>
      <c r="E104" s="22" t="s">
        <v>242</v>
      </c>
      <c r="F104" s="12"/>
      <c r="G104" s="12"/>
      <c r="H104" s="12"/>
      <c r="I104" s="12"/>
    </row>
    <row r="105" spans="1:9" ht="43.5" x14ac:dyDescent="0.35">
      <c r="A105" s="8">
        <v>104</v>
      </c>
      <c r="B105" s="10" t="str">
        <f t="shared" si="0"/>
        <v>D104</v>
      </c>
      <c r="C105" s="12" t="s">
        <v>29</v>
      </c>
      <c r="D105" s="18" t="s">
        <v>24</v>
      </c>
      <c r="E105" s="22" t="s">
        <v>243</v>
      </c>
      <c r="F105" s="12"/>
      <c r="G105" s="12"/>
      <c r="H105" s="12"/>
      <c r="I105" s="12"/>
    </row>
    <row r="106" spans="1:9" ht="43.5" x14ac:dyDescent="0.35">
      <c r="A106" s="8">
        <v>105</v>
      </c>
      <c r="B106" s="10" t="str">
        <f t="shared" si="0"/>
        <v>D105</v>
      </c>
      <c r="C106" s="12" t="s">
        <v>29</v>
      </c>
      <c r="D106" s="18" t="s">
        <v>24</v>
      </c>
      <c r="E106" s="22" t="s">
        <v>244</v>
      </c>
      <c r="F106" s="12"/>
      <c r="G106" s="12"/>
      <c r="H106" s="12"/>
      <c r="I106" s="12"/>
    </row>
    <row r="107" spans="1:9" ht="43.5" x14ac:dyDescent="0.35">
      <c r="A107" s="8">
        <v>106</v>
      </c>
      <c r="B107" s="10" t="str">
        <f t="shared" si="0"/>
        <v>D106</v>
      </c>
      <c r="C107" s="12" t="s">
        <v>29</v>
      </c>
      <c r="D107" s="18" t="s">
        <v>24</v>
      </c>
      <c r="E107" s="22" t="s">
        <v>245</v>
      </c>
      <c r="F107" s="12"/>
      <c r="G107" s="12"/>
      <c r="H107" s="12"/>
      <c r="I107" s="12"/>
    </row>
    <row r="108" spans="1:9" x14ac:dyDescent="0.35">
      <c r="A108" s="8">
        <v>107</v>
      </c>
      <c r="B108" s="10" t="str">
        <f t="shared" si="0"/>
        <v>D107</v>
      </c>
      <c r="C108" s="12" t="s">
        <v>29</v>
      </c>
      <c r="D108" s="18" t="s">
        <v>24</v>
      </c>
      <c r="E108" s="22" t="s">
        <v>246</v>
      </c>
      <c r="F108" s="12"/>
      <c r="G108" s="12"/>
      <c r="H108" s="12"/>
      <c r="I108" s="12"/>
    </row>
    <row r="109" spans="1:9" ht="29" x14ac:dyDescent="0.35">
      <c r="A109" s="8">
        <v>108</v>
      </c>
      <c r="B109" s="10" t="str">
        <f t="shared" si="0"/>
        <v>D108</v>
      </c>
      <c r="C109" s="12" t="s">
        <v>29</v>
      </c>
      <c r="D109" s="18" t="s">
        <v>24</v>
      </c>
      <c r="E109" s="22" t="s">
        <v>247</v>
      </c>
      <c r="F109" s="12"/>
      <c r="G109" s="12"/>
      <c r="H109" s="12"/>
      <c r="I109" s="12"/>
    </row>
    <row r="110" spans="1:9" ht="58" x14ac:dyDescent="0.35">
      <c r="A110" s="8">
        <v>109</v>
      </c>
      <c r="B110" s="10" t="str">
        <f t="shared" si="0"/>
        <v>D109</v>
      </c>
      <c r="C110" s="12" t="s">
        <v>29</v>
      </c>
      <c r="D110" s="18" t="s">
        <v>24</v>
      </c>
      <c r="E110" s="22" t="s">
        <v>248</v>
      </c>
      <c r="F110" s="12"/>
      <c r="G110" s="12"/>
      <c r="H110" s="12"/>
      <c r="I110" s="12"/>
    </row>
    <row r="111" spans="1:9" x14ac:dyDescent="0.35">
      <c r="A111" s="8">
        <v>110</v>
      </c>
      <c r="B111" s="10" t="str">
        <f t="shared" si="0"/>
        <v>D110</v>
      </c>
      <c r="C111" s="12" t="s">
        <v>29</v>
      </c>
      <c r="D111" s="18" t="s">
        <v>24</v>
      </c>
      <c r="E111" s="23" t="s">
        <v>249</v>
      </c>
      <c r="F111" s="12"/>
      <c r="G111" s="12"/>
      <c r="H111" s="12"/>
      <c r="I111" s="12"/>
    </row>
    <row r="112" spans="1:9" ht="29" x14ac:dyDescent="0.35">
      <c r="A112" s="8">
        <v>111</v>
      </c>
      <c r="B112" s="10" t="str">
        <f t="shared" si="0"/>
        <v>D111</v>
      </c>
      <c r="C112" s="12" t="s">
        <v>29</v>
      </c>
      <c r="D112" s="18" t="s">
        <v>24</v>
      </c>
      <c r="E112" s="22" t="s">
        <v>250</v>
      </c>
      <c r="F112" s="12"/>
      <c r="G112" s="12"/>
      <c r="H112" s="12"/>
      <c r="I112" s="12"/>
    </row>
    <row r="113" spans="1:9" ht="43.5" x14ac:dyDescent="0.35">
      <c r="A113" s="8">
        <v>112</v>
      </c>
      <c r="B113" s="10" t="str">
        <f t="shared" si="0"/>
        <v>D112</v>
      </c>
      <c r="C113" s="12" t="s">
        <v>29</v>
      </c>
      <c r="D113" s="18" t="s">
        <v>24</v>
      </c>
      <c r="E113" s="22" t="s">
        <v>251</v>
      </c>
      <c r="F113" s="12"/>
      <c r="G113" s="12"/>
      <c r="H113" s="12"/>
      <c r="I113" s="12"/>
    </row>
    <row r="114" spans="1:9" ht="29" x14ac:dyDescent="0.35">
      <c r="A114" s="8">
        <v>113</v>
      </c>
      <c r="B114" s="10" t="str">
        <f t="shared" si="0"/>
        <v>D113</v>
      </c>
      <c r="C114" s="12" t="s">
        <v>29</v>
      </c>
      <c r="D114" s="18" t="s">
        <v>24</v>
      </c>
      <c r="E114" s="23" t="s">
        <v>252</v>
      </c>
      <c r="F114" s="12"/>
      <c r="G114" s="12"/>
      <c r="H114" s="12"/>
      <c r="I114" s="12"/>
    </row>
    <row r="115" spans="1:9" ht="43.5" x14ac:dyDescent="0.35">
      <c r="A115" s="13">
        <v>1</v>
      </c>
      <c r="B115" s="8" t="str">
        <f t="shared" ref="B115:B146" si="1">"S"&amp;A115</f>
        <v>S1</v>
      </c>
      <c r="C115" s="18" t="s">
        <v>29</v>
      </c>
      <c r="D115" s="13" t="s">
        <v>253</v>
      </c>
      <c r="E115" s="18" t="s">
        <v>254</v>
      </c>
      <c r="F115" s="17" t="s">
        <v>255</v>
      </c>
      <c r="G115" s="8">
        <v>3</v>
      </c>
      <c r="H115" s="13" t="s">
        <v>256</v>
      </c>
      <c r="I115" s="8" t="s">
        <v>257</v>
      </c>
    </row>
    <row r="116" spans="1:9" ht="58" x14ac:dyDescent="0.35">
      <c r="A116" s="8">
        <v>2</v>
      </c>
      <c r="B116" s="8" t="str">
        <f t="shared" si="1"/>
        <v>S2</v>
      </c>
      <c r="C116" s="18" t="s">
        <v>29</v>
      </c>
      <c r="D116" s="13" t="s">
        <v>253</v>
      </c>
      <c r="E116" s="18" t="s">
        <v>258</v>
      </c>
      <c r="F116" s="17" t="s">
        <v>255</v>
      </c>
      <c r="G116" s="8">
        <v>3</v>
      </c>
      <c r="H116" s="13" t="s">
        <v>256</v>
      </c>
      <c r="I116" s="8" t="s">
        <v>257</v>
      </c>
    </row>
    <row r="117" spans="1:9" ht="72.5" x14ac:dyDescent="0.35">
      <c r="A117" s="8">
        <v>3</v>
      </c>
      <c r="B117" s="8" t="str">
        <f t="shared" si="1"/>
        <v>S3</v>
      </c>
      <c r="C117" s="18" t="s">
        <v>29</v>
      </c>
      <c r="D117" s="13" t="s">
        <v>253</v>
      </c>
      <c r="E117" s="18" t="s">
        <v>259</v>
      </c>
      <c r="F117" s="17" t="s">
        <v>260</v>
      </c>
      <c r="G117" s="8">
        <v>3</v>
      </c>
      <c r="H117" s="13" t="s">
        <v>256</v>
      </c>
      <c r="I117" s="8" t="s">
        <v>261</v>
      </c>
    </row>
    <row r="118" spans="1:9" ht="58" x14ac:dyDescent="0.35">
      <c r="A118" s="8">
        <v>4</v>
      </c>
      <c r="B118" s="8" t="str">
        <f t="shared" si="1"/>
        <v>S4</v>
      </c>
      <c r="C118" s="18" t="s">
        <v>23</v>
      </c>
      <c r="D118" s="13" t="s">
        <v>253</v>
      </c>
      <c r="E118" s="18" t="s">
        <v>262</v>
      </c>
      <c r="F118" s="17" t="s">
        <v>263</v>
      </c>
      <c r="G118" s="8">
        <v>3</v>
      </c>
      <c r="H118" s="13" t="s">
        <v>256</v>
      </c>
      <c r="I118" s="8" t="s">
        <v>264</v>
      </c>
    </row>
    <row r="119" spans="1:9" ht="58" x14ac:dyDescent="0.35">
      <c r="A119" s="8">
        <v>5</v>
      </c>
      <c r="B119" s="8" t="str">
        <f t="shared" si="1"/>
        <v>S5</v>
      </c>
      <c r="C119" s="18" t="s">
        <v>23</v>
      </c>
      <c r="D119" s="13" t="s">
        <v>253</v>
      </c>
      <c r="E119" s="18" t="s">
        <v>265</v>
      </c>
      <c r="F119" s="17" t="s">
        <v>263</v>
      </c>
      <c r="G119" s="8">
        <v>3</v>
      </c>
      <c r="H119" s="13" t="s">
        <v>256</v>
      </c>
      <c r="I119" s="8" t="s">
        <v>264</v>
      </c>
    </row>
    <row r="120" spans="1:9" ht="43.5" x14ac:dyDescent="0.35">
      <c r="A120" s="8">
        <v>6</v>
      </c>
      <c r="B120" s="8" t="str">
        <f t="shared" si="1"/>
        <v>S6</v>
      </c>
      <c r="C120" s="18" t="s">
        <v>29</v>
      </c>
      <c r="D120" s="13" t="s">
        <v>253</v>
      </c>
      <c r="E120" s="18" t="s">
        <v>266</v>
      </c>
      <c r="F120" s="17" t="s">
        <v>267</v>
      </c>
      <c r="G120" s="8">
        <v>3</v>
      </c>
      <c r="H120" s="13" t="s">
        <v>256</v>
      </c>
      <c r="I120" s="8" t="s">
        <v>268</v>
      </c>
    </row>
    <row r="121" spans="1:9" ht="87" x14ac:dyDescent="0.35">
      <c r="A121" s="8">
        <v>7</v>
      </c>
      <c r="B121" s="8" t="str">
        <f t="shared" si="1"/>
        <v>S7</v>
      </c>
      <c r="C121" s="18" t="s">
        <v>23</v>
      </c>
      <c r="D121" s="13" t="s">
        <v>253</v>
      </c>
      <c r="E121" s="18" t="s">
        <v>269</v>
      </c>
      <c r="F121" s="17" t="s">
        <v>267</v>
      </c>
      <c r="G121" s="8">
        <v>3</v>
      </c>
      <c r="H121" s="13" t="s">
        <v>256</v>
      </c>
      <c r="I121" s="8" t="s">
        <v>268</v>
      </c>
    </row>
    <row r="122" spans="1:9" ht="43.5" x14ac:dyDescent="0.35">
      <c r="A122" s="8">
        <v>8</v>
      </c>
      <c r="B122" s="8" t="str">
        <f t="shared" si="1"/>
        <v>S8</v>
      </c>
      <c r="C122" s="18" t="s">
        <v>23</v>
      </c>
      <c r="D122" s="13" t="s">
        <v>253</v>
      </c>
      <c r="E122" s="18" t="s">
        <v>270</v>
      </c>
      <c r="F122" s="17" t="s">
        <v>267</v>
      </c>
      <c r="G122" s="8">
        <v>3</v>
      </c>
      <c r="H122" s="13" t="s">
        <v>256</v>
      </c>
      <c r="I122" s="8" t="s">
        <v>268</v>
      </c>
    </row>
    <row r="123" spans="1:9" ht="58" x14ac:dyDescent="0.35">
      <c r="A123" s="8">
        <v>9</v>
      </c>
      <c r="B123" s="8" t="str">
        <f t="shared" si="1"/>
        <v>S9</v>
      </c>
      <c r="C123" s="18" t="s">
        <v>23</v>
      </c>
      <c r="D123" s="13" t="s">
        <v>253</v>
      </c>
      <c r="E123" s="18" t="s">
        <v>271</v>
      </c>
      <c r="F123" s="17" t="s">
        <v>267</v>
      </c>
      <c r="G123" s="8">
        <v>3</v>
      </c>
      <c r="H123" s="13" t="s">
        <v>256</v>
      </c>
      <c r="I123" s="8" t="s">
        <v>272</v>
      </c>
    </row>
    <row r="124" spans="1:9" ht="29" x14ac:dyDescent="0.35">
      <c r="A124" s="13">
        <v>10</v>
      </c>
      <c r="B124" s="8" t="str">
        <f t="shared" si="1"/>
        <v>S10</v>
      </c>
      <c r="C124" s="18" t="s">
        <v>23</v>
      </c>
      <c r="D124" s="13" t="s">
        <v>253</v>
      </c>
      <c r="E124" s="18" t="s">
        <v>273</v>
      </c>
      <c r="F124" s="17" t="s">
        <v>267</v>
      </c>
      <c r="G124" s="8">
        <v>3</v>
      </c>
      <c r="H124" s="13" t="s">
        <v>256</v>
      </c>
      <c r="I124" s="8" t="s">
        <v>272</v>
      </c>
    </row>
    <row r="125" spans="1:9" ht="43.5" x14ac:dyDescent="0.35">
      <c r="A125" s="13">
        <v>11</v>
      </c>
      <c r="B125" s="8" t="str">
        <f t="shared" si="1"/>
        <v>S11</v>
      </c>
      <c r="C125" s="18" t="s">
        <v>29</v>
      </c>
      <c r="D125" s="13" t="s">
        <v>253</v>
      </c>
      <c r="E125" s="18" t="s">
        <v>274</v>
      </c>
      <c r="F125" s="17" t="s">
        <v>275</v>
      </c>
      <c r="G125" s="8">
        <v>3</v>
      </c>
      <c r="H125" s="13" t="s">
        <v>256</v>
      </c>
      <c r="I125" s="8" t="s">
        <v>272</v>
      </c>
    </row>
    <row r="126" spans="1:9" ht="58" x14ac:dyDescent="0.35">
      <c r="A126" s="13">
        <v>12</v>
      </c>
      <c r="B126" s="8" t="str">
        <f t="shared" si="1"/>
        <v>S12</v>
      </c>
      <c r="C126" s="18" t="s">
        <v>23</v>
      </c>
      <c r="D126" s="13" t="s">
        <v>253</v>
      </c>
      <c r="E126" s="18" t="s">
        <v>276</v>
      </c>
      <c r="F126" s="17" t="s">
        <v>275</v>
      </c>
      <c r="G126" s="8">
        <v>3</v>
      </c>
      <c r="H126" s="13" t="s">
        <v>256</v>
      </c>
      <c r="I126" s="8" t="s">
        <v>272</v>
      </c>
    </row>
    <row r="127" spans="1:9" ht="29" x14ac:dyDescent="0.35">
      <c r="A127" s="13">
        <v>13</v>
      </c>
      <c r="B127" s="8" t="str">
        <f t="shared" si="1"/>
        <v>S13</v>
      </c>
      <c r="C127" s="18" t="s">
        <v>23</v>
      </c>
      <c r="D127" s="13" t="s">
        <v>253</v>
      </c>
      <c r="E127" s="18" t="s">
        <v>277</v>
      </c>
      <c r="F127" s="17" t="s">
        <v>275</v>
      </c>
      <c r="G127" s="8">
        <v>3</v>
      </c>
      <c r="H127" s="13" t="s">
        <v>256</v>
      </c>
      <c r="I127" s="8" t="s">
        <v>272</v>
      </c>
    </row>
    <row r="128" spans="1:9" ht="43.5" x14ac:dyDescent="0.35">
      <c r="A128" s="13">
        <v>14</v>
      </c>
      <c r="B128" s="8" t="str">
        <f t="shared" si="1"/>
        <v>S14</v>
      </c>
      <c r="C128" s="18" t="s">
        <v>23</v>
      </c>
      <c r="D128" s="13" t="s">
        <v>253</v>
      </c>
      <c r="E128" s="18" t="s">
        <v>278</v>
      </c>
      <c r="F128" s="17" t="s">
        <v>275</v>
      </c>
      <c r="G128" s="8">
        <v>3</v>
      </c>
      <c r="H128" s="13" t="s">
        <v>256</v>
      </c>
      <c r="I128" s="8" t="s">
        <v>272</v>
      </c>
    </row>
    <row r="129" spans="1:9" ht="58" x14ac:dyDescent="0.35">
      <c r="A129" s="8">
        <v>15</v>
      </c>
      <c r="B129" s="8" t="str">
        <f t="shared" si="1"/>
        <v>S15</v>
      </c>
      <c r="C129" s="18" t="s">
        <v>29</v>
      </c>
      <c r="D129" s="13" t="s">
        <v>253</v>
      </c>
      <c r="E129" s="18" t="s">
        <v>279</v>
      </c>
      <c r="F129" s="17" t="s">
        <v>280</v>
      </c>
      <c r="G129" s="8">
        <v>3</v>
      </c>
      <c r="H129" s="13" t="s">
        <v>256</v>
      </c>
      <c r="I129" s="8" t="s">
        <v>281</v>
      </c>
    </row>
    <row r="130" spans="1:9" ht="29" x14ac:dyDescent="0.35">
      <c r="A130" s="8">
        <v>16</v>
      </c>
      <c r="B130" s="8" t="str">
        <f t="shared" si="1"/>
        <v>S16</v>
      </c>
      <c r="C130" s="18" t="s">
        <v>23</v>
      </c>
      <c r="D130" s="13" t="s">
        <v>253</v>
      </c>
      <c r="E130" s="18" t="s">
        <v>282</v>
      </c>
      <c r="F130" s="17" t="s">
        <v>280</v>
      </c>
      <c r="G130" s="8">
        <v>3</v>
      </c>
      <c r="H130" s="13" t="s">
        <v>256</v>
      </c>
      <c r="I130" s="8" t="s">
        <v>281</v>
      </c>
    </row>
    <row r="131" spans="1:9" ht="43.5" x14ac:dyDescent="0.35">
      <c r="A131" s="8">
        <v>17</v>
      </c>
      <c r="B131" s="8" t="str">
        <f t="shared" si="1"/>
        <v>S17</v>
      </c>
      <c r="C131" s="18" t="s">
        <v>23</v>
      </c>
      <c r="D131" s="13" t="s">
        <v>253</v>
      </c>
      <c r="E131" s="18" t="s">
        <v>283</v>
      </c>
      <c r="F131" s="17" t="s">
        <v>280</v>
      </c>
      <c r="G131" s="8">
        <v>3</v>
      </c>
      <c r="H131" s="13" t="s">
        <v>256</v>
      </c>
      <c r="I131" s="8" t="s">
        <v>281</v>
      </c>
    </row>
    <row r="132" spans="1:9" ht="58" x14ac:dyDescent="0.35">
      <c r="A132" s="8">
        <v>18</v>
      </c>
      <c r="B132" s="8" t="str">
        <f t="shared" si="1"/>
        <v>S18</v>
      </c>
      <c r="C132" s="18" t="s">
        <v>23</v>
      </c>
      <c r="D132" s="13" t="s">
        <v>253</v>
      </c>
      <c r="E132" s="18" t="s">
        <v>284</v>
      </c>
      <c r="F132" s="17" t="s">
        <v>280</v>
      </c>
      <c r="G132" s="8">
        <v>3</v>
      </c>
      <c r="H132" s="13" t="s">
        <v>256</v>
      </c>
      <c r="I132" s="8" t="s">
        <v>281</v>
      </c>
    </row>
    <row r="133" spans="1:9" ht="43.5" x14ac:dyDescent="0.35">
      <c r="A133" s="8">
        <v>19</v>
      </c>
      <c r="B133" s="8" t="str">
        <f t="shared" si="1"/>
        <v>S19</v>
      </c>
      <c r="C133" s="18" t="s">
        <v>23</v>
      </c>
      <c r="D133" s="13" t="s">
        <v>253</v>
      </c>
      <c r="E133" s="18" t="s">
        <v>285</v>
      </c>
      <c r="F133" s="17" t="s">
        <v>286</v>
      </c>
      <c r="G133" s="8">
        <v>3</v>
      </c>
      <c r="H133" s="13" t="s">
        <v>256</v>
      </c>
      <c r="I133" s="8" t="s">
        <v>287</v>
      </c>
    </row>
    <row r="134" spans="1:9" ht="58" x14ac:dyDescent="0.35">
      <c r="A134" s="8">
        <v>20</v>
      </c>
      <c r="B134" s="8" t="str">
        <f t="shared" si="1"/>
        <v>S20</v>
      </c>
      <c r="C134" s="18" t="s">
        <v>29</v>
      </c>
      <c r="D134" s="13" t="s">
        <v>253</v>
      </c>
      <c r="E134" s="18" t="s">
        <v>288</v>
      </c>
      <c r="F134" s="17" t="s">
        <v>289</v>
      </c>
      <c r="G134" s="8">
        <v>3</v>
      </c>
      <c r="H134" s="13" t="s">
        <v>256</v>
      </c>
      <c r="I134" s="8" t="s">
        <v>290</v>
      </c>
    </row>
    <row r="135" spans="1:9" ht="43.5" x14ac:dyDescent="0.35">
      <c r="A135" s="8">
        <v>21</v>
      </c>
      <c r="B135" s="8" t="str">
        <f t="shared" si="1"/>
        <v>S21</v>
      </c>
      <c r="C135" s="18" t="s">
        <v>23</v>
      </c>
      <c r="D135" s="13" t="s">
        <v>253</v>
      </c>
      <c r="E135" s="18" t="s">
        <v>291</v>
      </c>
      <c r="F135" s="17" t="s">
        <v>289</v>
      </c>
      <c r="G135" s="8">
        <v>3</v>
      </c>
      <c r="H135" s="13" t="s">
        <v>256</v>
      </c>
      <c r="I135" s="8" t="s">
        <v>290</v>
      </c>
    </row>
    <row r="136" spans="1:9" ht="43.5" x14ac:dyDescent="0.35">
      <c r="A136" s="8">
        <v>22</v>
      </c>
      <c r="B136" s="8" t="str">
        <f t="shared" si="1"/>
        <v>S22</v>
      </c>
      <c r="C136" s="18" t="s">
        <v>23</v>
      </c>
      <c r="D136" s="13" t="s">
        <v>253</v>
      </c>
      <c r="E136" s="18" t="s">
        <v>292</v>
      </c>
      <c r="F136" s="17" t="s">
        <v>293</v>
      </c>
      <c r="G136" s="8">
        <v>3</v>
      </c>
      <c r="H136" s="13" t="s">
        <v>256</v>
      </c>
      <c r="I136" s="8" t="s">
        <v>294</v>
      </c>
    </row>
    <row r="137" spans="1:9" ht="43.5" x14ac:dyDescent="0.35">
      <c r="A137" s="8">
        <v>23</v>
      </c>
      <c r="B137" s="8" t="str">
        <f t="shared" si="1"/>
        <v>S23</v>
      </c>
      <c r="C137" s="18" t="s">
        <v>23</v>
      </c>
      <c r="D137" s="13" t="s">
        <v>253</v>
      </c>
      <c r="E137" s="18" t="s">
        <v>295</v>
      </c>
      <c r="F137" s="17" t="s">
        <v>293</v>
      </c>
      <c r="G137" s="8">
        <v>3</v>
      </c>
      <c r="H137" s="13" t="s">
        <v>256</v>
      </c>
      <c r="I137" s="8" t="s">
        <v>294</v>
      </c>
    </row>
    <row r="138" spans="1:9" ht="58" x14ac:dyDescent="0.35">
      <c r="A138" s="8">
        <v>24</v>
      </c>
      <c r="B138" s="8" t="str">
        <f t="shared" si="1"/>
        <v>S24</v>
      </c>
      <c r="C138" s="18" t="s">
        <v>23</v>
      </c>
      <c r="D138" s="13" t="s">
        <v>253</v>
      </c>
      <c r="E138" s="18" t="s">
        <v>296</v>
      </c>
      <c r="F138" s="17" t="s">
        <v>293</v>
      </c>
      <c r="G138" s="8">
        <v>3</v>
      </c>
      <c r="H138" s="13" t="s">
        <v>256</v>
      </c>
      <c r="I138" s="8" t="s">
        <v>294</v>
      </c>
    </row>
    <row r="139" spans="1:9" ht="43.5" x14ac:dyDescent="0.35">
      <c r="A139" s="10">
        <v>25</v>
      </c>
      <c r="B139" s="8" t="str">
        <f t="shared" si="1"/>
        <v>S25</v>
      </c>
      <c r="C139" s="18" t="s">
        <v>29</v>
      </c>
      <c r="D139" s="13" t="s">
        <v>253</v>
      </c>
      <c r="E139" s="18" t="s">
        <v>297</v>
      </c>
      <c r="F139" s="17" t="s">
        <v>293</v>
      </c>
      <c r="G139" s="8">
        <v>3</v>
      </c>
      <c r="H139" s="13" t="s">
        <v>256</v>
      </c>
      <c r="I139" s="8" t="s">
        <v>294</v>
      </c>
    </row>
    <row r="140" spans="1:9" ht="43.5" x14ac:dyDescent="0.35">
      <c r="A140" s="10">
        <v>26</v>
      </c>
      <c r="B140" s="8" t="str">
        <f t="shared" si="1"/>
        <v>S26</v>
      </c>
      <c r="C140" s="18" t="s">
        <v>23</v>
      </c>
      <c r="D140" s="13" t="s">
        <v>253</v>
      </c>
      <c r="E140" s="18" t="s">
        <v>298</v>
      </c>
      <c r="F140" s="17" t="s">
        <v>293</v>
      </c>
      <c r="G140" s="8">
        <v>3</v>
      </c>
      <c r="H140" s="13" t="s">
        <v>256</v>
      </c>
      <c r="I140" s="8" t="s">
        <v>294</v>
      </c>
    </row>
    <row r="141" spans="1:9" ht="29" x14ac:dyDescent="0.35">
      <c r="A141" s="10">
        <v>27</v>
      </c>
      <c r="B141" s="8" t="str">
        <f t="shared" si="1"/>
        <v>S27</v>
      </c>
      <c r="C141" s="18" t="s">
        <v>23</v>
      </c>
      <c r="D141" s="13" t="s">
        <v>253</v>
      </c>
      <c r="E141" s="18" t="s">
        <v>299</v>
      </c>
      <c r="F141" s="17" t="s">
        <v>293</v>
      </c>
      <c r="G141" s="8">
        <v>3</v>
      </c>
      <c r="H141" s="13" t="s">
        <v>256</v>
      </c>
      <c r="I141" s="8" t="s">
        <v>294</v>
      </c>
    </row>
    <row r="142" spans="1:9" ht="58" x14ac:dyDescent="0.35">
      <c r="A142" s="8">
        <v>28</v>
      </c>
      <c r="B142" s="8" t="str">
        <f t="shared" si="1"/>
        <v>S28</v>
      </c>
      <c r="C142" s="18" t="s">
        <v>29</v>
      </c>
      <c r="D142" s="13" t="s">
        <v>253</v>
      </c>
      <c r="E142" s="18" t="s">
        <v>300</v>
      </c>
      <c r="F142" s="17" t="s">
        <v>293</v>
      </c>
      <c r="G142" s="8">
        <v>3</v>
      </c>
      <c r="H142" s="13" t="s">
        <v>256</v>
      </c>
      <c r="I142" s="8" t="s">
        <v>294</v>
      </c>
    </row>
    <row r="143" spans="1:9" ht="116" x14ac:dyDescent="0.35">
      <c r="A143" s="8">
        <v>29</v>
      </c>
      <c r="B143" s="8" t="str">
        <f t="shared" si="1"/>
        <v>S29</v>
      </c>
      <c r="C143" s="18" t="s">
        <v>29</v>
      </c>
      <c r="D143" s="13" t="s">
        <v>253</v>
      </c>
      <c r="E143" s="18" t="s">
        <v>301</v>
      </c>
      <c r="F143" s="17" t="s">
        <v>302</v>
      </c>
      <c r="G143" s="8">
        <v>4</v>
      </c>
      <c r="H143" s="13" t="s">
        <v>2</v>
      </c>
      <c r="I143" s="8" t="s">
        <v>303</v>
      </c>
    </row>
    <row r="144" spans="1:9" ht="29" x14ac:dyDescent="0.35">
      <c r="A144" s="10">
        <v>30</v>
      </c>
      <c r="B144" s="8" t="str">
        <f t="shared" si="1"/>
        <v>S30</v>
      </c>
      <c r="C144" s="18" t="s">
        <v>23</v>
      </c>
      <c r="D144" s="13" t="s">
        <v>253</v>
      </c>
      <c r="E144" s="18" t="s">
        <v>304</v>
      </c>
      <c r="F144" s="17" t="s">
        <v>305</v>
      </c>
      <c r="G144" s="8">
        <v>4</v>
      </c>
      <c r="H144" s="13" t="s">
        <v>2</v>
      </c>
      <c r="I144" s="8" t="s">
        <v>306</v>
      </c>
    </row>
    <row r="145" spans="1:9" ht="58" x14ac:dyDescent="0.35">
      <c r="A145" s="10">
        <v>31</v>
      </c>
      <c r="B145" s="8" t="str">
        <f t="shared" si="1"/>
        <v>S31</v>
      </c>
      <c r="C145" s="18" t="s">
        <v>29</v>
      </c>
      <c r="D145" s="13" t="s">
        <v>253</v>
      </c>
      <c r="E145" s="18" t="s">
        <v>307</v>
      </c>
      <c r="F145" s="17" t="s">
        <v>305</v>
      </c>
      <c r="G145" s="8">
        <v>4</v>
      </c>
      <c r="H145" s="13" t="s">
        <v>2</v>
      </c>
      <c r="I145" s="8" t="s">
        <v>306</v>
      </c>
    </row>
    <row r="146" spans="1:9" ht="43.5" x14ac:dyDescent="0.35">
      <c r="A146" s="10">
        <v>32</v>
      </c>
      <c r="B146" s="8" t="str">
        <f t="shared" si="1"/>
        <v>S32</v>
      </c>
      <c r="C146" s="18" t="s">
        <v>23</v>
      </c>
      <c r="D146" s="13" t="s">
        <v>253</v>
      </c>
      <c r="E146" s="18" t="s">
        <v>308</v>
      </c>
      <c r="F146" s="17" t="s">
        <v>305</v>
      </c>
      <c r="G146" s="8">
        <v>4</v>
      </c>
      <c r="H146" s="13" t="s">
        <v>2</v>
      </c>
      <c r="I146" s="8" t="s">
        <v>306</v>
      </c>
    </row>
    <row r="147" spans="1:9" ht="43.5" x14ac:dyDescent="0.35">
      <c r="A147" s="10">
        <v>33</v>
      </c>
      <c r="B147" s="8" t="str">
        <f t="shared" ref="B147:B178" si="2">"S"&amp;A147</f>
        <v>S33</v>
      </c>
      <c r="C147" s="18" t="s">
        <v>23</v>
      </c>
      <c r="D147" s="13" t="s">
        <v>253</v>
      </c>
      <c r="E147" s="18" t="s">
        <v>309</v>
      </c>
      <c r="F147" s="17" t="s">
        <v>305</v>
      </c>
      <c r="G147" s="8">
        <v>4</v>
      </c>
      <c r="H147" s="13" t="s">
        <v>2</v>
      </c>
      <c r="I147" s="8" t="s">
        <v>306</v>
      </c>
    </row>
    <row r="148" spans="1:9" ht="43.5" x14ac:dyDescent="0.35">
      <c r="A148" s="10">
        <v>34</v>
      </c>
      <c r="B148" s="8" t="str">
        <f t="shared" si="2"/>
        <v>S34</v>
      </c>
      <c r="C148" s="18" t="s">
        <v>23</v>
      </c>
      <c r="D148" s="13" t="s">
        <v>253</v>
      </c>
      <c r="E148" s="18" t="s">
        <v>310</v>
      </c>
      <c r="F148" s="17" t="s">
        <v>305</v>
      </c>
      <c r="G148" s="8">
        <v>4</v>
      </c>
      <c r="H148" s="13" t="s">
        <v>2</v>
      </c>
      <c r="I148" s="8" t="s">
        <v>306</v>
      </c>
    </row>
    <row r="149" spans="1:9" x14ac:dyDescent="0.35">
      <c r="A149" s="10">
        <v>35</v>
      </c>
      <c r="B149" s="8" t="str">
        <f t="shared" si="2"/>
        <v>S35</v>
      </c>
      <c r="C149" s="18" t="s">
        <v>23</v>
      </c>
      <c r="D149" s="13" t="s">
        <v>253</v>
      </c>
      <c r="E149" s="18" t="s">
        <v>311</v>
      </c>
      <c r="F149" s="17" t="s">
        <v>305</v>
      </c>
      <c r="G149" s="8">
        <v>4</v>
      </c>
      <c r="H149" s="13" t="s">
        <v>2</v>
      </c>
      <c r="I149" s="8" t="s">
        <v>306</v>
      </c>
    </row>
    <row r="150" spans="1:9" ht="29" x14ac:dyDescent="0.35">
      <c r="A150" s="10">
        <v>36</v>
      </c>
      <c r="B150" s="8" t="str">
        <f t="shared" si="2"/>
        <v>S36</v>
      </c>
      <c r="C150" s="18" t="s">
        <v>29</v>
      </c>
      <c r="D150" s="13" t="s">
        <v>253</v>
      </c>
      <c r="E150" s="18" t="s">
        <v>312</v>
      </c>
      <c r="F150" s="17" t="s">
        <v>313</v>
      </c>
      <c r="G150" s="8">
        <v>4</v>
      </c>
      <c r="H150" s="13" t="s">
        <v>2</v>
      </c>
      <c r="I150" s="8" t="s">
        <v>314</v>
      </c>
    </row>
    <row r="151" spans="1:9" ht="72.5" x14ac:dyDescent="0.35">
      <c r="A151" s="10">
        <v>37</v>
      </c>
      <c r="B151" s="8" t="str">
        <f t="shared" si="2"/>
        <v>S37</v>
      </c>
      <c r="C151" s="18" t="s">
        <v>23</v>
      </c>
      <c r="D151" s="13" t="s">
        <v>253</v>
      </c>
      <c r="E151" s="18" t="s">
        <v>315</v>
      </c>
      <c r="F151" s="17" t="s">
        <v>313</v>
      </c>
      <c r="G151" s="8">
        <v>4</v>
      </c>
      <c r="H151" s="13" t="s">
        <v>2</v>
      </c>
      <c r="I151" s="8" t="s">
        <v>314</v>
      </c>
    </row>
    <row r="152" spans="1:9" ht="29" x14ac:dyDescent="0.35">
      <c r="A152" s="10">
        <v>38</v>
      </c>
      <c r="B152" s="8" t="str">
        <f t="shared" si="2"/>
        <v>S38</v>
      </c>
      <c r="C152" s="18" t="s">
        <v>23</v>
      </c>
      <c r="D152" s="13" t="s">
        <v>253</v>
      </c>
      <c r="E152" s="18" t="s">
        <v>316</v>
      </c>
      <c r="F152" s="17" t="s">
        <v>313</v>
      </c>
      <c r="G152" s="8">
        <v>4</v>
      </c>
      <c r="H152" s="13" t="s">
        <v>2</v>
      </c>
      <c r="I152" s="8" t="s">
        <v>314</v>
      </c>
    </row>
    <row r="153" spans="1:9" ht="29" x14ac:dyDescent="0.35">
      <c r="A153" s="10">
        <v>39</v>
      </c>
      <c r="B153" s="8" t="str">
        <f t="shared" si="2"/>
        <v>S39</v>
      </c>
      <c r="C153" s="18" t="s">
        <v>23</v>
      </c>
      <c r="D153" s="13" t="s">
        <v>253</v>
      </c>
      <c r="E153" s="18" t="s">
        <v>317</v>
      </c>
      <c r="F153" s="17" t="s">
        <v>313</v>
      </c>
      <c r="G153" s="8">
        <v>4</v>
      </c>
      <c r="H153" s="13" t="s">
        <v>2</v>
      </c>
      <c r="I153" s="8" t="s">
        <v>314</v>
      </c>
    </row>
    <row r="154" spans="1:9" ht="29" x14ac:dyDescent="0.35">
      <c r="A154" s="10">
        <v>40</v>
      </c>
      <c r="B154" s="8" t="str">
        <f t="shared" si="2"/>
        <v>S40</v>
      </c>
      <c r="C154" s="18" t="s">
        <v>23</v>
      </c>
      <c r="D154" s="13" t="s">
        <v>253</v>
      </c>
      <c r="E154" s="18" t="s">
        <v>318</v>
      </c>
      <c r="F154" s="17" t="s">
        <v>313</v>
      </c>
      <c r="G154" s="8">
        <v>4</v>
      </c>
      <c r="H154" s="13" t="s">
        <v>2</v>
      </c>
      <c r="I154" s="8" t="s">
        <v>314</v>
      </c>
    </row>
    <row r="155" spans="1:9" ht="29" x14ac:dyDescent="0.35">
      <c r="A155" s="10">
        <v>41</v>
      </c>
      <c r="B155" s="8" t="str">
        <f t="shared" si="2"/>
        <v>S41</v>
      </c>
      <c r="C155" s="18" t="s">
        <v>23</v>
      </c>
      <c r="D155" s="13" t="s">
        <v>253</v>
      </c>
      <c r="E155" s="18" t="s">
        <v>319</v>
      </c>
      <c r="F155" s="17" t="s">
        <v>313</v>
      </c>
      <c r="G155" s="8">
        <v>4</v>
      </c>
      <c r="H155" s="13" t="s">
        <v>2</v>
      </c>
      <c r="I155" s="8" t="s">
        <v>314</v>
      </c>
    </row>
    <row r="156" spans="1:9" ht="29" x14ac:dyDescent="0.35">
      <c r="A156" s="10">
        <v>42</v>
      </c>
      <c r="B156" s="8" t="str">
        <f t="shared" si="2"/>
        <v>S42</v>
      </c>
      <c r="C156" s="18" t="s">
        <v>29</v>
      </c>
      <c r="D156" s="13" t="s">
        <v>253</v>
      </c>
      <c r="E156" s="18" t="s">
        <v>320</v>
      </c>
      <c r="F156" s="17" t="s">
        <v>321</v>
      </c>
      <c r="G156" s="8">
        <v>4</v>
      </c>
      <c r="H156" s="13" t="s">
        <v>2</v>
      </c>
      <c r="I156" s="8" t="s">
        <v>322</v>
      </c>
    </row>
    <row r="157" spans="1:9" ht="29" x14ac:dyDescent="0.35">
      <c r="A157" s="10">
        <v>43</v>
      </c>
      <c r="B157" s="8" t="str">
        <f t="shared" si="2"/>
        <v>S43</v>
      </c>
      <c r="C157" s="18" t="s">
        <v>23</v>
      </c>
      <c r="D157" s="13" t="s">
        <v>253</v>
      </c>
      <c r="E157" s="18" t="s">
        <v>323</v>
      </c>
      <c r="F157" s="17" t="s">
        <v>321</v>
      </c>
      <c r="G157" s="8">
        <v>4</v>
      </c>
      <c r="H157" s="13" t="s">
        <v>2</v>
      </c>
      <c r="I157" s="8" t="s">
        <v>322</v>
      </c>
    </row>
    <row r="158" spans="1:9" ht="43.5" x14ac:dyDescent="0.35">
      <c r="A158" s="10">
        <v>44</v>
      </c>
      <c r="B158" s="8" t="str">
        <f t="shared" si="2"/>
        <v>S44</v>
      </c>
      <c r="C158" s="18" t="s">
        <v>23</v>
      </c>
      <c r="D158" s="13" t="s">
        <v>253</v>
      </c>
      <c r="E158" s="18" t="s">
        <v>324</v>
      </c>
      <c r="F158" s="17" t="s">
        <v>321</v>
      </c>
      <c r="G158" s="8">
        <v>4</v>
      </c>
      <c r="H158" s="13" t="s">
        <v>2</v>
      </c>
      <c r="I158" s="8" t="s">
        <v>322</v>
      </c>
    </row>
    <row r="159" spans="1:9" ht="43.5" x14ac:dyDescent="0.35">
      <c r="A159" s="10">
        <v>45</v>
      </c>
      <c r="B159" s="8" t="str">
        <f t="shared" si="2"/>
        <v>S45</v>
      </c>
      <c r="C159" s="18" t="s">
        <v>23</v>
      </c>
      <c r="D159" s="13" t="s">
        <v>253</v>
      </c>
      <c r="E159" s="18" t="s">
        <v>325</v>
      </c>
      <c r="F159" s="17" t="s">
        <v>321</v>
      </c>
      <c r="G159" s="8">
        <v>4</v>
      </c>
      <c r="H159" s="13" t="s">
        <v>2</v>
      </c>
      <c r="I159" s="8" t="s">
        <v>322</v>
      </c>
    </row>
    <row r="160" spans="1:9" ht="29" x14ac:dyDescent="0.35">
      <c r="A160" s="10">
        <v>46</v>
      </c>
      <c r="B160" s="8" t="str">
        <f t="shared" si="2"/>
        <v>S46</v>
      </c>
      <c r="C160" s="18" t="s">
        <v>23</v>
      </c>
      <c r="D160" s="13" t="s">
        <v>253</v>
      </c>
      <c r="E160" s="18" t="s">
        <v>326</v>
      </c>
      <c r="F160" s="17" t="s">
        <v>321</v>
      </c>
      <c r="G160" s="8">
        <v>4</v>
      </c>
      <c r="H160" s="13" t="s">
        <v>2</v>
      </c>
      <c r="I160" s="8" t="s">
        <v>322</v>
      </c>
    </row>
    <row r="161" spans="1:9" ht="58" x14ac:dyDescent="0.35">
      <c r="A161" s="10">
        <v>47</v>
      </c>
      <c r="B161" s="8" t="str">
        <f t="shared" si="2"/>
        <v>S47</v>
      </c>
      <c r="C161" s="18" t="s">
        <v>23</v>
      </c>
      <c r="D161" s="13" t="s">
        <v>253</v>
      </c>
      <c r="E161" s="18" t="s">
        <v>327</v>
      </c>
      <c r="F161" s="17" t="s">
        <v>321</v>
      </c>
      <c r="G161" s="8">
        <v>4</v>
      </c>
      <c r="H161" s="13" t="s">
        <v>2</v>
      </c>
      <c r="I161" s="8" t="s">
        <v>322</v>
      </c>
    </row>
    <row r="162" spans="1:9" ht="29" x14ac:dyDescent="0.35">
      <c r="A162" s="8">
        <v>48</v>
      </c>
      <c r="B162" s="8" t="str">
        <f t="shared" si="2"/>
        <v>S48</v>
      </c>
      <c r="C162" s="18" t="s">
        <v>23</v>
      </c>
      <c r="D162" s="13" t="s">
        <v>253</v>
      </c>
      <c r="E162" s="18" t="s">
        <v>328</v>
      </c>
      <c r="F162" s="17" t="s">
        <v>321</v>
      </c>
      <c r="G162" s="8">
        <v>4</v>
      </c>
      <c r="H162" s="13" t="s">
        <v>2</v>
      </c>
      <c r="I162" s="8" t="s">
        <v>322</v>
      </c>
    </row>
    <row r="163" spans="1:9" ht="58" x14ac:dyDescent="0.35">
      <c r="A163" s="10">
        <v>49</v>
      </c>
      <c r="B163" s="8" t="str">
        <f t="shared" si="2"/>
        <v>S49</v>
      </c>
      <c r="C163" s="18" t="s">
        <v>23</v>
      </c>
      <c r="D163" s="13" t="s">
        <v>253</v>
      </c>
      <c r="E163" s="18" t="s">
        <v>329</v>
      </c>
      <c r="F163" s="17" t="s">
        <v>330</v>
      </c>
      <c r="G163" s="8">
        <v>4</v>
      </c>
      <c r="H163" s="13" t="s">
        <v>2</v>
      </c>
      <c r="I163" s="8" t="s">
        <v>331</v>
      </c>
    </row>
    <row r="164" spans="1:9" ht="29" x14ac:dyDescent="0.35">
      <c r="A164" s="10">
        <v>50</v>
      </c>
      <c r="B164" s="8" t="str">
        <f t="shared" si="2"/>
        <v>S50</v>
      </c>
      <c r="C164" s="18" t="s">
        <v>29</v>
      </c>
      <c r="D164" s="13" t="s">
        <v>253</v>
      </c>
      <c r="E164" s="18" t="s">
        <v>332</v>
      </c>
      <c r="F164" s="17" t="s">
        <v>330</v>
      </c>
      <c r="G164" s="8">
        <v>4</v>
      </c>
      <c r="H164" s="13" t="s">
        <v>2</v>
      </c>
      <c r="I164" s="8" t="s">
        <v>331</v>
      </c>
    </row>
    <row r="165" spans="1:9" ht="58" x14ac:dyDescent="0.35">
      <c r="A165" s="10">
        <v>51</v>
      </c>
      <c r="B165" s="8" t="str">
        <f t="shared" si="2"/>
        <v>S51</v>
      </c>
      <c r="C165" s="18" t="s">
        <v>23</v>
      </c>
      <c r="D165" s="13" t="s">
        <v>253</v>
      </c>
      <c r="E165" s="18" t="s">
        <v>333</v>
      </c>
      <c r="F165" s="17" t="s">
        <v>330</v>
      </c>
      <c r="G165" s="8">
        <v>4</v>
      </c>
      <c r="H165" s="13" t="s">
        <v>2</v>
      </c>
      <c r="I165" s="8" t="s">
        <v>331</v>
      </c>
    </row>
    <row r="166" spans="1:9" ht="58" x14ac:dyDescent="0.35">
      <c r="A166" s="10">
        <v>52</v>
      </c>
      <c r="B166" s="8" t="str">
        <f t="shared" si="2"/>
        <v>S52</v>
      </c>
      <c r="C166" s="18" t="s">
        <v>23</v>
      </c>
      <c r="D166" s="13" t="s">
        <v>253</v>
      </c>
      <c r="E166" s="18" t="s">
        <v>334</v>
      </c>
      <c r="F166" s="17" t="s">
        <v>335</v>
      </c>
      <c r="G166" s="8">
        <v>4</v>
      </c>
      <c r="H166" s="13" t="s">
        <v>2</v>
      </c>
      <c r="I166" s="8" t="s">
        <v>336</v>
      </c>
    </row>
    <row r="167" spans="1:9" ht="29" x14ac:dyDescent="0.35">
      <c r="A167" s="10">
        <v>53</v>
      </c>
      <c r="B167" s="8" t="str">
        <f t="shared" si="2"/>
        <v>S53</v>
      </c>
      <c r="C167" s="18" t="s">
        <v>29</v>
      </c>
      <c r="D167" s="13" t="s">
        <v>253</v>
      </c>
      <c r="E167" s="18" t="s">
        <v>337</v>
      </c>
      <c r="F167" s="17" t="s">
        <v>338</v>
      </c>
      <c r="G167" s="8">
        <v>5</v>
      </c>
      <c r="H167" s="13" t="s">
        <v>339</v>
      </c>
      <c r="I167" s="8" t="s">
        <v>340</v>
      </c>
    </row>
    <row r="168" spans="1:9" ht="43.5" x14ac:dyDescent="0.35">
      <c r="A168" s="10">
        <v>54</v>
      </c>
      <c r="B168" s="8" t="str">
        <f t="shared" si="2"/>
        <v>S54</v>
      </c>
      <c r="C168" s="18" t="s">
        <v>23</v>
      </c>
      <c r="D168" s="13" t="s">
        <v>253</v>
      </c>
      <c r="E168" s="18" t="s">
        <v>341</v>
      </c>
      <c r="F168" s="17" t="s">
        <v>338</v>
      </c>
      <c r="G168" s="8">
        <v>5</v>
      </c>
      <c r="H168" s="13" t="s">
        <v>339</v>
      </c>
      <c r="I168" s="8" t="s">
        <v>340</v>
      </c>
    </row>
    <row r="169" spans="1:9" ht="29" x14ac:dyDescent="0.35">
      <c r="A169" s="10">
        <v>55</v>
      </c>
      <c r="B169" s="8" t="str">
        <f t="shared" si="2"/>
        <v>S55</v>
      </c>
      <c r="C169" s="18" t="s">
        <v>29</v>
      </c>
      <c r="D169" s="13" t="s">
        <v>253</v>
      </c>
      <c r="E169" s="18" t="s">
        <v>342</v>
      </c>
      <c r="F169" s="17" t="s">
        <v>338</v>
      </c>
      <c r="G169" s="8">
        <v>5</v>
      </c>
      <c r="H169" s="13" t="s">
        <v>339</v>
      </c>
      <c r="I169" s="8" t="s">
        <v>340</v>
      </c>
    </row>
    <row r="170" spans="1:9" ht="58" x14ac:dyDescent="0.35">
      <c r="A170" s="12">
        <v>56</v>
      </c>
      <c r="B170" s="8" t="str">
        <f t="shared" si="2"/>
        <v>S56</v>
      </c>
      <c r="C170" s="18" t="s">
        <v>23</v>
      </c>
      <c r="D170" s="13" t="s">
        <v>253</v>
      </c>
      <c r="E170" s="18" t="s">
        <v>343</v>
      </c>
      <c r="F170" s="17" t="s">
        <v>338</v>
      </c>
      <c r="G170" s="8">
        <v>5</v>
      </c>
      <c r="H170" s="13" t="s">
        <v>339</v>
      </c>
      <c r="I170" s="8" t="s">
        <v>340</v>
      </c>
    </row>
    <row r="171" spans="1:9" ht="43.5" x14ac:dyDescent="0.35">
      <c r="A171" s="8">
        <v>57</v>
      </c>
      <c r="B171" s="8" t="str">
        <f t="shared" si="2"/>
        <v>S57</v>
      </c>
      <c r="C171" s="18" t="s">
        <v>23</v>
      </c>
      <c r="D171" s="13" t="s">
        <v>253</v>
      </c>
      <c r="E171" s="18" t="s">
        <v>344</v>
      </c>
      <c r="F171" s="17" t="s">
        <v>338</v>
      </c>
      <c r="G171" s="8">
        <v>5</v>
      </c>
      <c r="H171" s="13" t="s">
        <v>339</v>
      </c>
      <c r="I171" s="8" t="s">
        <v>340</v>
      </c>
    </row>
    <row r="172" spans="1:9" ht="43.5" x14ac:dyDescent="0.35">
      <c r="A172" s="10">
        <v>58</v>
      </c>
      <c r="B172" s="8" t="str">
        <f t="shared" si="2"/>
        <v>S58</v>
      </c>
      <c r="C172" s="18" t="s">
        <v>29</v>
      </c>
      <c r="D172" s="13" t="s">
        <v>253</v>
      </c>
      <c r="E172" s="18" t="s">
        <v>345</v>
      </c>
      <c r="F172" s="17" t="s">
        <v>346</v>
      </c>
      <c r="G172" s="8">
        <v>5</v>
      </c>
      <c r="H172" s="13" t="s">
        <v>339</v>
      </c>
      <c r="I172" s="8" t="s">
        <v>347</v>
      </c>
    </row>
    <row r="173" spans="1:9" ht="29" x14ac:dyDescent="0.35">
      <c r="A173" s="10">
        <v>59</v>
      </c>
      <c r="B173" s="8" t="str">
        <f t="shared" si="2"/>
        <v>S59</v>
      </c>
      <c r="C173" s="18" t="s">
        <v>23</v>
      </c>
      <c r="D173" s="13" t="s">
        <v>253</v>
      </c>
      <c r="E173" s="18" t="s">
        <v>348</v>
      </c>
      <c r="F173" s="17" t="s">
        <v>346</v>
      </c>
      <c r="G173" s="8">
        <v>5</v>
      </c>
      <c r="H173" s="13" t="s">
        <v>339</v>
      </c>
      <c r="I173" s="8" t="s">
        <v>347</v>
      </c>
    </row>
    <row r="174" spans="1:9" ht="87" x14ac:dyDescent="0.35">
      <c r="A174" s="8">
        <v>60</v>
      </c>
      <c r="B174" s="8" t="str">
        <f t="shared" si="2"/>
        <v>S60</v>
      </c>
      <c r="C174" s="18" t="s">
        <v>23</v>
      </c>
      <c r="D174" s="13" t="s">
        <v>253</v>
      </c>
      <c r="E174" s="18" t="s">
        <v>349</v>
      </c>
      <c r="F174" s="17" t="s">
        <v>350</v>
      </c>
      <c r="G174" s="8">
        <v>5</v>
      </c>
      <c r="H174" s="13" t="s">
        <v>339</v>
      </c>
      <c r="I174" s="8" t="s">
        <v>351</v>
      </c>
    </row>
    <row r="175" spans="1:9" ht="43.5" x14ac:dyDescent="0.35">
      <c r="A175" s="8">
        <v>61</v>
      </c>
      <c r="B175" s="8" t="str">
        <f t="shared" si="2"/>
        <v>S61</v>
      </c>
      <c r="C175" s="18" t="s">
        <v>23</v>
      </c>
      <c r="D175" s="13" t="s">
        <v>253</v>
      </c>
      <c r="E175" s="18" t="s">
        <v>352</v>
      </c>
      <c r="F175" s="17" t="s">
        <v>353</v>
      </c>
      <c r="G175" s="8">
        <v>5</v>
      </c>
      <c r="H175" s="13" t="s">
        <v>339</v>
      </c>
      <c r="I175" s="8" t="s">
        <v>354</v>
      </c>
    </row>
    <row r="176" spans="1:9" ht="29" x14ac:dyDescent="0.35">
      <c r="A176" s="8">
        <v>62</v>
      </c>
      <c r="B176" s="8" t="str">
        <f t="shared" si="2"/>
        <v>S62</v>
      </c>
      <c r="C176" s="18" t="s">
        <v>23</v>
      </c>
      <c r="D176" s="13" t="s">
        <v>253</v>
      </c>
      <c r="E176" s="18" t="s">
        <v>355</v>
      </c>
      <c r="F176" s="17" t="s">
        <v>356</v>
      </c>
      <c r="G176" s="8">
        <v>5</v>
      </c>
      <c r="H176" s="13" t="s">
        <v>339</v>
      </c>
      <c r="I176" s="8" t="s">
        <v>357</v>
      </c>
    </row>
    <row r="177" spans="1:9" ht="58" x14ac:dyDescent="0.35">
      <c r="A177" s="8">
        <v>63</v>
      </c>
      <c r="B177" s="8" t="str">
        <f t="shared" si="2"/>
        <v>S63</v>
      </c>
      <c r="C177" s="18" t="s">
        <v>29</v>
      </c>
      <c r="D177" s="13" t="s">
        <v>253</v>
      </c>
      <c r="E177" s="18" t="s">
        <v>358</v>
      </c>
      <c r="F177" s="17" t="s">
        <v>359</v>
      </c>
      <c r="G177" s="8">
        <v>5</v>
      </c>
      <c r="H177" s="13" t="s">
        <v>339</v>
      </c>
      <c r="I177" s="8" t="s">
        <v>360</v>
      </c>
    </row>
    <row r="178" spans="1:9" ht="43.5" x14ac:dyDescent="0.35">
      <c r="A178" s="8">
        <v>64</v>
      </c>
      <c r="B178" s="8" t="str">
        <f t="shared" si="2"/>
        <v>S64</v>
      </c>
      <c r="C178" s="18" t="s">
        <v>29</v>
      </c>
      <c r="D178" s="13" t="s">
        <v>253</v>
      </c>
      <c r="E178" s="18" t="s">
        <v>361</v>
      </c>
      <c r="F178" s="17" t="s">
        <v>359</v>
      </c>
      <c r="G178" s="8">
        <v>5</v>
      </c>
      <c r="H178" s="13" t="s">
        <v>339</v>
      </c>
      <c r="I178" s="8" t="s">
        <v>360</v>
      </c>
    </row>
    <row r="179" spans="1:9" ht="43.5" x14ac:dyDescent="0.35">
      <c r="A179" s="8">
        <v>65</v>
      </c>
      <c r="B179" s="8" t="str">
        <f t="shared" ref="B179:B210" si="3">"S"&amp;A179</f>
        <v>S65</v>
      </c>
      <c r="C179" s="18" t="s">
        <v>29</v>
      </c>
      <c r="D179" s="13" t="s">
        <v>253</v>
      </c>
      <c r="E179" s="18" t="s">
        <v>362</v>
      </c>
      <c r="F179" s="17" t="s">
        <v>359</v>
      </c>
      <c r="G179" s="8">
        <v>5</v>
      </c>
      <c r="H179" s="13" t="s">
        <v>339</v>
      </c>
      <c r="I179" s="8" t="s">
        <v>360</v>
      </c>
    </row>
    <row r="180" spans="1:9" ht="43.5" x14ac:dyDescent="0.35">
      <c r="A180" s="8">
        <v>66</v>
      </c>
      <c r="B180" s="8" t="str">
        <f t="shared" si="3"/>
        <v>S66</v>
      </c>
      <c r="C180" s="18" t="s">
        <v>29</v>
      </c>
      <c r="D180" s="13" t="s">
        <v>253</v>
      </c>
      <c r="E180" s="18" t="s">
        <v>363</v>
      </c>
      <c r="F180" s="17" t="s">
        <v>364</v>
      </c>
      <c r="G180" s="8">
        <v>5</v>
      </c>
      <c r="H180" s="13" t="s">
        <v>339</v>
      </c>
      <c r="I180" s="8" t="s">
        <v>365</v>
      </c>
    </row>
    <row r="181" spans="1:9" ht="58" x14ac:dyDescent="0.35">
      <c r="A181" s="8">
        <v>67</v>
      </c>
      <c r="B181" s="8" t="str">
        <f t="shared" si="3"/>
        <v>S67</v>
      </c>
      <c r="C181" s="18" t="s">
        <v>23</v>
      </c>
      <c r="D181" s="13" t="s">
        <v>253</v>
      </c>
      <c r="E181" s="18" t="s">
        <v>366</v>
      </c>
      <c r="F181" s="17" t="s">
        <v>367</v>
      </c>
      <c r="G181" s="8">
        <v>5</v>
      </c>
      <c r="H181" s="13" t="s">
        <v>339</v>
      </c>
      <c r="I181" s="8" t="s">
        <v>368</v>
      </c>
    </row>
    <row r="182" spans="1:9" ht="43.5" x14ac:dyDescent="0.35">
      <c r="A182" s="8">
        <v>68</v>
      </c>
      <c r="B182" s="8" t="str">
        <f t="shared" si="3"/>
        <v>S68</v>
      </c>
      <c r="C182" s="18" t="s">
        <v>23</v>
      </c>
      <c r="D182" s="13" t="s">
        <v>253</v>
      </c>
      <c r="E182" s="18" t="s">
        <v>369</v>
      </c>
      <c r="F182" s="17" t="s">
        <v>367</v>
      </c>
      <c r="G182" s="8">
        <v>5</v>
      </c>
      <c r="H182" s="13" t="s">
        <v>339</v>
      </c>
      <c r="I182" s="8" t="s">
        <v>368</v>
      </c>
    </row>
    <row r="183" spans="1:9" ht="58" x14ac:dyDescent="0.35">
      <c r="A183" s="10">
        <v>69</v>
      </c>
      <c r="B183" s="8" t="str">
        <f t="shared" si="3"/>
        <v>S69</v>
      </c>
      <c r="C183" s="18" t="s">
        <v>29</v>
      </c>
      <c r="D183" s="13" t="s">
        <v>253</v>
      </c>
      <c r="E183" s="18" t="s">
        <v>370</v>
      </c>
      <c r="F183" s="17" t="s">
        <v>371</v>
      </c>
      <c r="G183" s="8">
        <v>5</v>
      </c>
      <c r="H183" s="13" t="s">
        <v>339</v>
      </c>
      <c r="I183" s="8" t="s">
        <v>372</v>
      </c>
    </row>
    <row r="184" spans="1:9" ht="29" x14ac:dyDescent="0.35">
      <c r="A184" s="10">
        <v>70</v>
      </c>
      <c r="B184" s="8" t="str">
        <f t="shared" si="3"/>
        <v>S70</v>
      </c>
      <c r="C184" s="18" t="s">
        <v>23</v>
      </c>
      <c r="D184" s="13" t="s">
        <v>253</v>
      </c>
      <c r="E184" s="18" t="s">
        <v>373</v>
      </c>
      <c r="F184" s="17" t="s">
        <v>374</v>
      </c>
      <c r="G184" s="8">
        <v>5</v>
      </c>
      <c r="H184" s="13" t="s">
        <v>339</v>
      </c>
      <c r="I184" s="8" t="s">
        <v>375</v>
      </c>
    </row>
    <row r="185" spans="1:9" ht="58" x14ac:dyDescent="0.35">
      <c r="A185" s="10">
        <v>71</v>
      </c>
      <c r="B185" s="8" t="str">
        <f t="shared" si="3"/>
        <v>S71</v>
      </c>
      <c r="C185" s="18" t="s">
        <v>23</v>
      </c>
      <c r="D185" s="13" t="s">
        <v>253</v>
      </c>
      <c r="E185" s="18" t="s">
        <v>376</v>
      </c>
      <c r="F185" s="17" t="s">
        <v>374</v>
      </c>
      <c r="G185" s="8">
        <v>5</v>
      </c>
      <c r="H185" s="13" t="s">
        <v>339</v>
      </c>
      <c r="I185" s="8" t="s">
        <v>375</v>
      </c>
    </row>
    <row r="186" spans="1:9" ht="43.5" x14ac:dyDescent="0.35">
      <c r="A186" s="10">
        <v>72</v>
      </c>
      <c r="B186" s="8" t="str">
        <f t="shared" si="3"/>
        <v>S72</v>
      </c>
      <c r="C186" s="18" t="s">
        <v>23</v>
      </c>
      <c r="D186" s="13" t="s">
        <v>253</v>
      </c>
      <c r="E186" s="18" t="s">
        <v>377</v>
      </c>
      <c r="F186" s="17" t="s">
        <v>374</v>
      </c>
      <c r="G186" s="8">
        <v>5</v>
      </c>
      <c r="H186" s="13" t="s">
        <v>339</v>
      </c>
      <c r="I186" s="8" t="s">
        <v>375</v>
      </c>
    </row>
    <row r="187" spans="1:9" ht="29" x14ac:dyDescent="0.35">
      <c r="A187" s="10">
        <v>73</v>
      </c>
      <c r="B187" s="8" t="str">
        <f t="shared" si="3"/>
        <v>S73</v>
      </c>
      <c r="C187" s="18" t="s">
        <v>23</v>
      </c>
      <c r="D187" s="13" t="s">
        <v>253</v>
      </c>
      <c r="E187" s="18" t="s">
        <v>378</v>
      </c>
      <c r="F187" s="17" t="s">
        <v>379</v>
      </c>
      <c r="G187" s="8">
        <v>5</v>
      </c>
      <c r="H187" s="13" t="s">
        <v>339</v>
      </c>
      <c r="I187" s="8" t="s">
        <v>380</v>
      </c>
    </row>
    <row r="188" spans="1:9" ht="43.5" x14ac:dyDescent="0.35">
      <c r="A188" s="8">
        <v>74</v>
      </c>
      <c r="B188" s="8" t="str">
        <f t="shared" si="3"/>
        <v>S74</v>
      </c>
      <c r="C188" s="18" t="s">
        <v>29</v>
      </c>
      <c r="D188" s="13" t="s">
        <v>253</v>
      </c>
      <c r="E188" s="18" t="s">
        <v>381</v>
      </c>
      <c r="F188" s="17" t="s">
        <v>382</v>
      </c>
      <c r="G188" s="8">
        <v>6</v>
      </c>
      <c r="H188" s="13" t="s">
        <v>383</v>
      </c>
      <c r="I188" s="8" t="s">
        <v>384</v>
      </c>
    </row>
    <row r="189" spans="1:9" ht="43.5" x14ac:dyDescent="0.35">
      <c r="A189" s="8">
        <v>75</v>
      </c>
      <c r="B189" s="8" t="str">
        <f t="shared" si="3"/>
        <v>S75</v>
      </c>
      <c r="C189" s="18" t="s">
        <v>23</v>
      </c>
      <c r="D189" s="13" t="s">
        <v>253</v>
      </c>
      <c r="E189" s="18" t="s">
        <v>385</v>
      </c>
      <c r="F189" s="17" t="s">
        <v>386</v>
      </c>
      <c r="G189" s="8">
        <v>6</v>
      </c>
      <c r="H189" s="13" t="s">
        <v>383</v>
      </c>
      <c r="I189" s="8" t="s">
        <v>387</v>
      </c>
    </row>
    <row r="190" spans="1:9" ht="43.5" x14ac:dyDescent="0.35">
      <c r="A190" s="13">
        <v>76</v>
      </c>
      <c r="B190" s="8" t="str">
        <f t="shared" si="3"/>
        <v>S76</v>
      </c>
      <c r="C190" s="18" t="s">
        <v>29</v>
      </c>
      <c r="D190" s="13" t="s">
        <v>253</v>
      </c>
      <c r="E190" s="18" t="s">
        <v>388</v>
      </c>
      <c r="F190" s="17" t="s">
        <v>386</v>
      </c>
      <c r="G190" s="8">
        <v>6</v>
      </c>
      <c r="H190" s="13" t="s">
        <v>383</v>
      </c>
      <c r="I190" s="8" t="s">
        <v>387</v>
      </c>
    </row>
    <row r="191" spans="1:9" ht="29" x14ac:dyDescent="0.35">
      <c r="A191" s="13">
        <v>77</v>
      </c>
      <c r="B191" s="8" t="str">
        <f t="shared" si="3"/>
        <v>S77</v>
      </c>
      <c r="C191" s="18" t="s">
        <v>23</v>
      </c>
      <c r="D191" s="13" t="s">
        <v>253</v>
      </c>
      <c r="E191" s="18" t="s">
        <v>389</v>
      </c>
      <c r="F191" s="17" t="s">
        <v>390</v>
      </c>
      <c r="G191" s="8">
        <v>6</v>
      </c>
      <c r="H191" s="13" t="s">
        <v>383</v>
      </c>
      <c r="I191" s="8" t="s">
        <v>83</v>
      </c>
    </row>
    <row r="192" spans="1:9" x14ac:dyDescent="0.35">
      <c r="A192" s="13">
        <v>78</v>
      </c>
      <c r="B192" s="8" t="str">
        <f t="shared" si="3"/>
        <v>S78</v>
      </c>
      <c r="C192" s="18" t="s">
        <v>23</v>
      </c>
      <c r="D192" s="13" t="s">
        <v>253</v>
      </c>
      <c r="E192" s="18" t="s">
        <v>391</v>
      </c>
      <c r="F192" s="17" t="s">
        <v>390</v>
      </c>
      <c r="G192" s="8">
        <v>6</v>
      </c>
      <c r="H192" s="13" t="s">
        <v>383</v>
      </c>
      <c r="I192" s="8" t="s">
        <v>83</v>
      </c>
    </row>
    <row r="193" spans="1:9" ht="29" x14ac:dyDescent="0.35">
      <c r="A193" s="13">
        <v>79</v>
      </c>
      <c r="B193" s="8" t="str">
        <f t="shared" si="3"/>
        <v>S79</v>
      </c>
      <c r="C193" s="18" t="s">
        <v>23</v>
      </c>
      <c r="D193" s="13" t="s">
        <v>253</v>
      </c>
      <c r="E193" s="18" t="s">
        <v>392</v>
      </c>
      <c r="F193" s="17" t="s">
        <v>393</v>
      </c>
      <c r="G193" s="8">
        <v>6</v>
      </c>
      <c r="H193" s="13" t="s">
        <v>383</v>
      </c>
      <c r="I193" s="8" t="s">
        <v>394</v>
      </c>
    </row>
    <row r="194" spans="1:9" ht="43.5" x14ac:dyDescent="0.35">
      <c r="A194" s="8">
        <v>80</v>
      </c>
      <c r="B194" s="8" t="str">
        <f t="shared" si="3"/>
        <v>S80</v>
      </c>
      <c r="C194" s="18" t="s">
        <v>23</v>
      </c>
      <c r="D194" s="13" t="s">
        <v>253</v>
      </c>
      <c r="E194" s="18" t="s">
        <v>395</v>
      </c>
      <c r="F194" s="17" t="s">
        <v>393</v>
      </c>
      <c r="G194" s="8">
        <v>6</v>
      </c>
      <c r="H194" s="13" t="s">
        <v>383</v>
      </c>
      <c r="I194" s="8" t="s">
        <v>394</v>
      </c>
    </row>
    <row r="195" spans="1:9" ht="29" x14ac:dyDescent="0.35">
      <c r="A195" s="8">
        <v>81</v>
      </c>
      <c r="B195" s="8" t="str">
        <f t="shared" si="3"/>
        <v>S81</v>
      </c>
      <c r="C195" s="18" t="s">
        <v>23</v>
      </c>
      <c r="D195" s="13" t="s">
        <v>253</v>
      </c>
      <c r="E195" s="18" t="s">
        <v>396</v>
      </c>
      <c r="F195" s="17" t="s">
        <v>397</v>
      </c>
      <c r="G195" s="8">
        <v>7</v>
      </c>
      <c r="H195" s="13" t="s">
        <v>398</v>
      </c>
      <c r="I195" s="8" t="s">
        <v>399</v>
      </c>
    </row>
    <row r="196" spans="1:9" ht="58" x14ac:dyDescent="0.35">
      <c r="A196" s="8">
        <v>82</v>
      </c>
      <c r="B196" s="8" t="str">
        <f t="shared" si="3"/>
        <v>S82</v>
      </c>
      <c r="C196" s="18" t="s">
        <v>23</v>
      </c>
      <c r="D196" s="13" t="s">
        <v>253</v>
      </c>
      <c r="E196" s="18" t="s">
        <v>400</v>
      </c>
      <c r="F196" s="17" t="s">
        <v>401</v>
      </c>
      <c r="G196" s="8">
        <v>7</v>
      </c>
      <c r="H196" s="13" t="s">
        <v>398</v>
      </c>
      <c r="I196" s="8" t="s">
        <v>402</v>
      </c>
    </row>
    <row r="197" spans="1:9" ht="58" x14ac:dyDescent="0.35">
      <c r="A197" s="8">
        <v>83</v>
      </c>
      <c r="B197" s="8" t="str">
        <f t="shared" si="3"/>
        <v>S83</v>
      </c>
      <c r="C197" s="18" t="s">
        <v>23</v>
      </c>
      <c r="D197" s="13" t="s">
        <v>253</v>
      </c>
      <c r="E197" s="18" t="s">
        <v>403</v>
      </c>
      <c r="F197" s="17" t="s">
        <v>404</v>
      </c>
      <c r="G197" s="8">
        <v>7</v>
      </c>
      <c r="H197" s="13" t="s">
        <v>398</v>
      </c>
      <c r="I197" s="8" t="s">
        <v>405</v>
      </c>
    </row>
    <row r="198" spans="1:9" ht="43.5" x14ac:dyDescent="0.35">
      <c r="A198" s="8">
        <v>84</v>
      </c>
      <c r="B198" s="8" t="str">
        <f t="shared" si="3"/>
        <v>S84</v>
      </c>
      <c r="C198" s="18" t="s">
        <v>23</v>
      </c>
      <c r="D198" s="13" t="s">
        <v>253</v>
      </c>
      <c r="E198" s="18" t="s">
        <v>406</v>
      </c>
      <c r="F198" s="17" t="s">
        <v>407</v>
      </c>
      <c r="G198" s="8">
        <v>7</v>
      </c>
      <c r="H198" s="13" t="s">
        <v>398</v>
      </c>
      <c r="I198" s="8" t="s">
        <v>408</v>
      </c>
    </row>
    <row r="199" spans="1:9" ht="101.5" x14ac:dyDescent="0.35">
      <c r="A199" s="8">
        <v>85</v>
      </c>
      <c r="B199" s="8" t="str">
        <f t="shared" si="3"/>
        <v>S85</v>
      </c>
      <c r="C199" s="18" t="s">
        <v>29</v>
      </c>
      <c r="D199" s="13" t="s">
        <v>253</v>
      </c>
      <c r="E199" s="18" t="s">
        <v>409</v>
      </c>
      <c r="F199" s="17" t="s">
        <v>410</v>
      </c>
      <c r="G199" s="8">
        <v>7</v>
      </c>
      <c r="H199" s="13" t="s">
        <v>398</v>
      </c>
      <c r="I199" s="8" t="s">
        <v>411</v>
      </c>
    </row>
    <row r="200" spans="1:9" ht="29" x14ac:dyDescent="0.35">
      <c r="A200" s="8">
        <v>86</v>
      </c>
      <c r="B200" s="8" t="str">
        <f t="shared" si="3"/>
        <v>S86</v>
      </c>
      <c r="C200" s="18" t="s">
        <v>29</v>
      </c>
      <c r="D200" s="13" t="s">
        <v>253</v>
      </c>
      <c r="E200" s="18" t="s">
        <v>412</v>
      </c>
      <c r="F200" s="17" t="s">
        <v>410</v>
      </c>
      <c r="G200" s="8">
        <v>7</v>
      </c>
      <c r="H200" s="13" t="s">
        <v>398</v>
      </c>
      <c r="I200" s="8" t="s">
        <v>411</v>
      </c>
    </row>
    <row r="201" spans="1:9" ht="43.5" x14ac:dyDescent="0.35">
      <c r="A201" s="8">
        <v>87</v>
      </c>
      <c r="B201" s="8" t="str">
        <f t="shared" si="3"/>
        <v>S87</v>
      </c>
      <c r="C201" s="18" t="s">
        <v>29</v>
      </c>
      <c r="D201" s="13" t="s">
        <v>253</v>
      </c>
      <c r="E201" s="18" t="s">
        <v>413</v>
      </c>
      <c r="F201" s="17" t="s">
        <v>414</v>
      </c>
      <c r="G201" s="8">
        <v>8</v>
      </c>
      <c r="H201" s="13" t="s">
        <v>415</v>
      </c>
      <c r="I201" s="8" t="s">
        <v>416</v>
      </c>
    </row>
    <row r="202" spans="1:9" ht="43.5" x14ac:dyDescent="0.35">
      <c r="A202" s="8">
        <v>88</v>
      </c>
      <c r="B202" s="8" t="str">
        <f t="shared" si="3"/>
        <v>S88</v>
      </c>
      <c r="C202" s="18" t="s">
        <v>29</v>
      </c>
      <c r="D202" s="13" t="s">
        <v>253</v>
      </c>
      <c r="E202" s="18" t="s">
        <v>417</v>
      </c>
      <c r="F202" s="17" t="s">
        <v>414</v>
      </c>
      <c r="G202" s="8">
        <v>8</v>
      </c>
      <c r="H202" s="13" t="s">
        <v>415</v>
      </c>
      <c r="I202" s="8" t="s">
        <v>416</v>
      </c>
    </row>
    <row r="203" spans="1:9" ht="29" x14ac:dyDescent="0.35">
      <c r="A203" s="8">
        <v>89</v>
      </c>
      <c r="B203" s="8" t="str">
        <f t="shared" si="3"/>
        <v>S89</v>
      </c>
      <c r="C203" s="18" t="s">
        <v>29</v>
      </c>
      <c r="D203" s="13" t="s">
        <v>253</v>
      </c>
      <c r="E203" s="18" t="s">
        <v>418</v>
      </c>
      <c r="F203" s="17" t="s">
        <v>419</v>
      </c>
      <c r="G203" s="8">
        <v>8</v>
      </c>
      <c r="H203" s="13" t="s">
        <v>415</v>
      </c>
      <c r="I203" s="8" t="s">
        <v>420</v>
      </c>
    </row>
    <row r="204" spans="1:9" ht="29" x14ac:dyDescent="0.35">
      <c r="A204" s="8">
        <v>90</v>
      </c>
      <c r="B204" s="8" t="str">
        <f t="shared" si="3"/>
        <v>S90</v>
      </c>
      <c r="C204" s="18" t="s">
        <v>29</v>
      </c>
      <c r="D204" s="13" t="s">
        <v>253</v>
      </c>
      <c r="E204" s="18" t="s">
        <v>421</v>
      </c>
      <c r="F204" s="17" t="s">
        <v>422</v>
      </c>
      <c r="G204" s="8">
        <v>8</v>
      </c>
      <c r="H204" s="13" t="s">
        <v>415</v>
      </c>
      <c r="I204" s="8" t="s">
        <v>423</v>
      </c>
    </row>
    <row r="205" spans="1:9" ht="29" x14ac:dyDescent="0.35">
      <c r="A205" s="8">
        <v>91</v>
      </c>
      <c r="B205" s="8" t="str">
        <f t="shared" si="3"/>
        <v>S91</v>
      </c>
      <c r="C205" s="18" t="s">
        <v>23</v>
      </c>
      <c r="D205" s="13" t="s">
        <v>253</v>
      </c>
      <c r="E205" s="18" t="s">
        <v>424</v>
      </c>
      <c r="F205" s="17" t="s">
        <v>422</v>
      </c>
      <c r="G205" s="8">
        <v>8</v>
      </c>
      <c r="H205" s="13" t="s">
        <v>415</v>
      </c>
      <c r="I205" s="8" t="s">
        <v>423</v>
      </c>
    </row>
    <row r="206" spans="1:9" ht="43.5" x14ac:dyDescent="0.35">
      <c r="A206" s="8">
        <v>92</v>
      </c>
      <c r="B206" s="8" t="str">
        <f t="shared" si="3"/>
        <v>S92</v>
      </c>
      <c r="C206" s="18" t="s">
        <v>23</v>
      </c>
      <c r="D206" s="13" t="s">
        <v>253</v>
      </c>
      <c r="E206" s="18" t="s">
        <v>425</v>
      </c>
      <c r="F206" s="17" t="s">
        <v>422</v>
      </c>
      <c r="G206" s="8">
        <v>8</v>
      </c>
      <c r="H206" s="13" t="s">
        <v>415</v>
      </c>
      <c r="I206" s="8" t="s">
        <v>423</v>
      </c>
    </row>
    <row r="207" spans="1:9" ht="43.5" x14ac:dyDescent="0.35">
      <c r="A207" s="8">
        <v>93</v>
      </c>
      <c r="B207" s="8" t="str">
        <f t="shared" si="3"/>
        <v>S93</v>
      </c>
      <c r="C207" s="18" t="s">
        <v>23</v>
      </c>
      <c r="D207" s="13" t="s">
        <v>253</v>
      </c>
      <c r="E207" s="18" t="s">
        <v>426</v>
      </c>
      <c r="F207" s="17" t="s">
        <v>427</v>
      </c>
      <c r="G207" s="8">
        <v>8</v>
      </c>
      <c r="H207" s="13" t="s">
        <v>415</v>
      </c>
      <c r="I207" s="8" t="s">
        <v>428</v>
      </c>
    </row>
    <row r="208" spans="1:9" ht="58" x14ac:dyDescent="0.35">
      <c r="A208" s="8">
        <v>94</v>
      </c>
      <c r="B208" s="8" t="str">
        <f t="shared" si="3"/>
        <v>S94</v>
      </c>
      <c r="C208" s="18" t="s">
        <v>29</v>
      </c>
      <c r="D208" s="13" t="s">
        <v>253</v>
      </c>
      <c r="E208" s="18" t="s">
        <v>429</v>
      </c>
      <c r="F208" s="17" t="s">
        <v>430</v>
      </c>
      <c r="G208" s="8">
        <v>8</v>
      </c>
      <c r="H208" s="13" t="s">
        <v>415</v>
      </c>
      <c r="I208" s="8" t="s">
        <v>431</v>
      </c>
    </row>
    <row r="209" spans="1:9" ht="43.5" x14ac:dyDescent="0.35">
      <c r="A209" s="8">
        <v>95</v>
      </c>
      <c r="B209" s="8" t="str">
        <f t="shared" si="3"/>
        <v>S95</v>
      </c>
      <c r="C209" s="18" t="s">
        <v>29</v>
      </c>
      <c r="D209" s="13" t="s">
        <v>253</v>
      </c>
      <c r="E209" s="18" t="s">
        <v>432</v>
      </c>
      <c r="F209" s="17" t="s">
        <v>433</v>
      </c>
      <c r="G209" s="8">
        <v>8</v>
      </c>
      <c r="H209" s="13" t="s">
        <v>415</v>
      </c>
      <c r="I209" s="8" t="s">
        <v>434</v>
      </c>
    </row>
    <row r="210" spans="1:9" ht="29" x14ac:dyDescent="0.35">
      <c r="A210" s="8">
        <v>96</v>
      </c>
      <c r="B210" s="8" t="str">
        <f t="shared" si="3"/>
        <v>S96</v>
      </c>
      <c r="C210" s="18" t="s">
        <v>29</v>
      </c>
      <c r="D210" s="13" t="s">
        <v>253</v>
      </c>
      <c r="E210" s="18" t="s">
        <v>435</v>
      </c>
      <c r="F210" s="17" t="s">
        <v>436</v>
      </c>
      <c r="G210" s="8">
        <v>8</v>
      </c>
      <c r="H210" s="13" t="s">
        <v>415</v>
      </c>
      <c r="I210" s="8" t="s">
        <v>437</v>
      </c>
    </row>
    <row r="211" spans="1:9" ht="72.5" x14ac:dyDescent="0.35">
      <c r="A211" s="8">
        <v>97</v>
      </c>
      <c r="B211" s="8" t="str">
        <f t="shared" ref="B211:B242" si="4">"S"&amp;A211</f>
        <v>S97</v>
      </c>
      <c r="C211" s="18" t="s">
        <v>23</v>
      </c>
      <c r="D211" s="13" t="s">
        <v>253</v>
      </c>
      <c r="E211" s="18" t="s">
        <v>438</v>
      </c>
      <c r="F211" s="17" t="s">
        <v>439</v>
      </c>
      <c r="G211" s="8">
        <v>8</v>
      </c>
      <c r="H211" s="13" t="s">
        <v>415</v>
      </c>
      <c r="I211" s="8" t="s">
        <v>440</v>
      </c>
    </row>
    <row r="212" spans="1:9" ht="101.5" x14ac:dyDescent="0.35">
      <c r="A212" s="8">
        <v>98</v>
      </c>
      <c r="B212" s="8" t="str">
        <f t="shared" si="4"/>
        <v>S98</v>
      </c>
      <c r="C212" s="18" t="s">
        <v>23</v>
      </c>
      <c r="D212" s="13" t="s">
        <v>253</v>
      </c>
      <c r="E212" s="18" t="s">
        <v>441</v>
      </c>
      <c r="F212" s="17" t="s">
        <v>442</v>
      </c>
      <c r="G212" s="8">
        <v>8</v>
      </c>
      <c r="H212" s="13" t="s">
        <v>415</v>
      </c>
      <c r="I212" s="8" t="s">
        <v>443</v>
      </c>
    </row>
    <row r="213" spans="1:9" ht="43.5" x14ac:dyDescent="0.35">
      <c r="A213" s="8">
        <v>99</v>
      </c>
      <c r="B213" s="8" t="str">
        <f t="shared" si="4"/>
        <v>S99</v>
      </c>
      <c r="C213" s="18" t="s">
        <v>23</v>
      </c>
      <c r="D213" s="13" t="s">
        <v>253</v>
      </c>
      <c r="E213" s="18" t="s">
        <v>444</v>
      </c>
      <c r="F213" s="17" t="s">
        <v>445</v>
      </c>
      <c r="G213" s="8">
        <v>8</v>
      </c>
      <c r="H213" s="13" t="s">
        <v>415</v>
      </c>
      <c r="I213" s="8" t="s">
        <v>446</v>
      </c>
    </row>
    <row r="214" spans="1:9" ht="87" x14ac:dyDescent="0.35">
      <c r="A214" s="8">
        <v>100</v>
      </c>
      <c r="B214" s="8" t="str">
        <f t="shared" si="4"/>
        <v>S100</v>
      </c>
      <c r="C214" s="18" t="s">
        <v>29</v>
      </c>
      <c r="D214" s="13" t="s">
        <v>253</v>
      </c>
      <c r="E214" s="18" t="s">
        <v>447</v>
      </c>
      <c r="F214" s="17" t="s">
        <v>448</v>
      </c>
      <c r="G214" s="8">
        <v>8</v>
      </c>
      <c r="H214" s="13" t="s">
        <v>415</v>
      </c>
      <c r="I214" s="8" t="s">
        <v>449</v>
      </c>
    </row>
    <row r="215" spans="1:9" ht="43.5" x14ac:dyDescent="0.35">
      <c r="A215" s="13">
        <v>101</v>
      </c>
      <c r="B215" s="8" t="str">
        <f t="shared" si="4"/>
        <v>S101</v>
      </c>
      <c r="C215" s="18" t="s">
        <v>29</v>
      </c>
      <c r="D215" s="13" t="s">
        <v>253</v>
      </c>
      <c r="E215" s="18" t="s">
        <v>450</v>
      </c>
      <c r="F215" s="17" t="s">
        <v>451</v>
      </c>
      <c r="G215" s="8">
        <v>9</v>
      </c>
      <c r="H215" s="13" t="s">
        <v>7</v>
      </c>
      <c r="I215" s="8" t="s">
        <v>452</v>
      </c>
    </row>
    <row r="216" spans="1:9" ht="43.5" x14ac:dyDescent="0.35">
      <c r="A216" s="16">
        <v>102</v>
      </c>
      <c r="B216" s="8" t="str">
        <f t="shared" si="4"/>
        <v>S102</v>
      </c>
      <c r="C216" s="18" t="s">
        <v>29</v>
      </c>
      <c r="D216" s="13" t="s">
        <v>253</v>
      </c>
      <c r="E216" s="18" t="s">
        <v>453</v>
      </c>
      <c r="F216" s="17" t="s">
        <v>454</v>
      </c>
      <c r="G216" s="8">
        <v>9</v>
      </c>
      <c r="H216" s="13" t="s">
        <v>7</v>
      </c>
      <c r="I216" s="8" t="s">
        <v>455</v>
      </c>
    </row>
    <row r="217" spans="1:9" ht="43.5" x14ac:dyDescent="0.35">
      <c r="A217" s="13">
        <v>103</v>
      </c>
      <c r="B217" s="8" t="str">
        <f t="shared" si="4"/>
        <v>S103</v>
      </c>
      <c r="C217" s="18" t="s">
        <v>23</v>
      </c>
      <c r="D217" s="13" t="s">
        <v>253</v>
      </c>
      <c r="E217" s="18" t="s">
        <v>456</v>
      </c>
      <c r="F217" s="17" t="s">
        <v>457</v>
      </c>
      <c r="G217" s="8">
        <v>9</v>
      </c>
      <c r="H217" s="13" t="s">
        <v>7</v>
      </c>
      <c r="I217" s="8" t="s">
        <v>458</v>
      </c>
    </row>
    <row r="218" spans="1:9" ht="29" x14ac:dyDescent="0.35">
      <c r="A218" s="8">
        <v>104</v>
      </c>
      <c r="B218" s="8" t="str">
        <f t="shared" si="4"/>
        <v>S104</v>
      </c>
      <c r="C218" s="18" t="s">
        <v>23</v>
      </c>
      <c r="D218" s="13" t="s">
        <v>253</v>
      </c>
      <c r="E218" s="18" t="s">
        <v>459</v>
      </c>
      <c r="F218" s="17" t="s">
        <v>457</v>
      </c>
      <c r="G218" s="8">
        <v>9</v>
      </c>
      <c r="H218" s="13" t="s">
        <v>7</v>
      </c>
      <c r="I218" s="8" t="s">
        <v>458</v>
      </c>
    </row>
    <row r="219" spans="1:9" ht="43.5" x14ac:dyDescent="0.35">
      <c r="A219" s="8">
        <v>105</v>
      </c>
      <c r="B219" s="8" t="str">
        <f t="shared" si="4"/>
        <v>S105</v>
      </c>
      <c r="C219" s="18" t="s">
        <v>23</v>
      </c>
      <c r="D219" s="13" t="s">
        <v>253</v>
      </c>
      <c r="E219" s="18" t="s">
        <v>460</v>
      </c>
      <c r="F219" s="17" t="s">
        <v>461</v>
      </c>
      <c r="G219" s="8">
        <v>9</v>
      </c>
      <c r="H219" s="13" t="s">
        <v>7</v>
      </c>
      <c r="I219" s="8" t="s">
        <v>462</v>
      </c>
    </row>
    <row r="220" spans="1:9" ht="58" x14ac:dyDescent="0.35">
      <c r="A220" s="8">
        <v>106</v>
      </c>
      <c r="B220" s="8" t="str">
        <f t="shared" si="4"/>
        <v>S106</v>
      </c>
      <c r="C220" s="18" t="s">
        <v>29</v>
      </c>
      <c r="D220" s="13" t="s">
        <v>253</v>
      </c>
      <c r="E220" s="18" t="s">
        <v>463</v>
      </c>
      <c r="F220" s="17" t="s">
        <v>464</v>
      </c>
      <c r="G220" s="8">
        <v>9</v>
      </c>
      <c r="H220" s="13" t="s">
        <v>7</v>
      </c>
      <c r="I220" s="8" t="s">
        <v>465</v>
      </c>
    </row>
    <row r="221" spans="1:9" ht="58" x14ac:dyDescent="0.35">
      <c r="A221" s="8">
        <v>107</v>
      </c>
      <c r="B221" s="8" t="str">
        <f t="shared" si="4"/>
        <v>S107</v>
      </c>
      <c r="C221" s="18" t="s">
        <v>23</v>
      </c>
      <c r="D221" s="13" t="s">
        <v>253</v>
      </c>
      <c r="E221" s="18" t="s">
        <v>466</v>
      </c>
      <c r="F221" s="17" t="s">
        <v>464</v>
      </c>
      <c r="G221" s="8">
        <v>9</v>
      </c>
      <c r="H221" s="13" t="s">
        <v>7</v>
      </c>
      <c r="I221" s="8" t="s">
        <v>465</v>
      </c>
    </row>
    <row r="222" spans="1:9" ht="43.5" x14ac:dyDescent="0.35">
      <c r="A222" s="8">
        <v>108</v>
      </c>
      <c r="B222" s="8" t="str">
        <f t="shared" si="4"/>
        <v>S108</v>
      </c>
      <c r="C222" s="18" t="s">
        <v>23</v>
      </c>
      <c r="D222" s="13" t="s">
        <v>253</v>
      </c>
      <c r="E222" s="18" t="s">
        <v>467</v>
      </c>
      <c r="F222" s="17" t="s">
        <v>464</v>
      </c>
      <c r="G222" s="8">
        <v>9</v>
      </c>
      <c r="H222" s="13" t="s">
        <v>7</v>
      </c>
      <c r="I222" s="8" t="s">
        <v>465</v>
      </c>
    </row>
    <row r="223" spans="1:9" ht="58" x14ac:dyDescent="0.35">
      <c r="A223" s="8">
        <v>109</v>
      </c>
      <c r="B223" s="8" t="str">
        <f t="shared" si="4"/>
        <v>S109</v>
      </c>
      <c r="C223" s="18" t="s">
        <v>23</v>
      </c>
      <c r="D223" s="13" t="s">
        <v>253</v>
      </c>
      <c r="E223" s="18" t="s">
        <v>468</v>
      </c>
      <c r="F223" s="17" t="s">
        <v>464</v>
      </c>
      <c r="G223" s="8">
        <v>9</v>
      </c>
      <c r="H223" s="13" t="s">
        <v>7</v>
      </c>
      <c r="I223" s="8" t="s">
        <v>465</v>
      </c>
    </row>
    <row r="224" spans="1:9" ht="43.5" x14ac:dyDescent="0.35">
      <c r="A224" s="8">
        <v>110</v>
      </c>
      <c r="B224" s="8" t="str">
        <f t="shared" si="4"/>
        <v>S110</v>
      </c>
      <c r="C224" s="18" t="s">
        <v>23</v>
      </c>
      <c r="D224" s="13" t="s">
        <v>253</v>
      </c>
      <c r="E224" s="18" t="s">
        <v>469</v>
      </c>
      <c r="F224" s="17" t="s">
        <v>464</v>
      </c>
      <c r="G224" s="8">
        <v>9</v>
      </c>
      <c r="H224" s="13" t="s">
        <v>7</v>
      </c>
      <c r="I224" s="8" t="s">
        <v>465</v>
      </c>
    </row>
    <row r="225" spans="1:9" ht="43.5" x14ac:dyDescent="0.35">
      <c r="A225" s="8">
        <v>111</v>
      </c>
      <c r="B225" s="8" t="str">
        <f t="shared" si="4"/>
        <v>S111</v>
      </c>
      <c r="C225" s="18" t="s">
        <v>23</v>
      </c>
      <c r="D225" s="13" t="s">
        <v>253</v>
      </c>
      <c r="E225" s="18" t="s">
        <v>470</v>
      </c>
      <c r="F225" s="17" t="s">
        <v>464</v>
      </c>
      <c r="G225" s="8">
        <v>9</v>
      </c>
      <c r="H225" s="13" t="s">
        <v>7</v>
      </c>
      <c r="I225" s="8" t="s">
        <v>465</v>
      </c>
    </row>
    <row r="226" spans="1:9" ht="43.5" x14ac:dyDescent="0.35">
      <c r="A226" s="8">
        <v>112</v>
      </c>
      <c r="B226" s="8" t="str">
        <f t="shared" si="4"/>
        <v>S112</v>
      </c>
      <c r="C226" s="18" t="s">
        <v>23</v>
      </c>
      <c r="D226" s="13" t="s">
        <v>253</v>
      </c>
      <c r="E226" s="18" t="s">
        <v>471</v>
      </c>
      <c r="F226" s="17" t="s">
        <v>464</v>
      </c>
      <c r="G226" s="8">
        <v>9</v>
      </c>
      <c r="H226" s="13" t="s">
        <v>7</v>
      </c>
      <c r="I226" s="8" t="s">
        <v>465</v>
      </c>
    </row>
    <row r="227" spans="1:9" ht="58" x14ac:dyDescent="0.35">
      <c r="A227" s="10">
        <v>113</v>
      </c>
      <c r="B227" s="8" t="str">
        <f t="shared" si="4"/>
        <v>S113</v>
      </c>
      <c r="C227" s="18" t="s">
        <v>23</v>
      </c>
      <c r="D227" s="13" t="s">
        <v>253</v>
      </c>
      <c r="E227" s="18" t="s">
        <v>472</v>
      </c>
      <c r="F227" s="17" t="s">
        <v>473</v>
      </c>
      <c r="G227" s="8">
        <v>10</v>
      </c>
      <c r="H227" s="13" t="s">
        <v>8</v>
      </c>
      <c r="I227" s="8" t="s">
        <v>474</v>
      </c>
    </row>
    <row r="228" spans="1:9" ht="29" x14ac:dyDescent="0.35">
      <c r="A228" s="10">
        <v>114</v>
      </c>
      <c r="B228" s="8" t="str">
        <f t="shared" si="4"/>
        <v>S114</v>
      </c>
      <c r="C228" s="18" t="s">
        <v>23</v>
      </c>
      <c r="D228" s="13" t="s">
        <v>253</v>
      </c>
      <c r="E228" s="18" t="s">
        <v>475</v>
      </c>
      <c r="F228" s="17" t="s">
        <v>473</v>
      </c>
      <c r="G228" s="8">
        <v>10</v>
      </c>
      <c r="H228" s="13" t="s">
        <v>8</v>
      </c>
      <c r="I228" s="8" t="s">
        <v>474</v>
      </c>
    </row>
    <row r="229" spans="1:9" x14ac:dyDescent="0.35">
      <c r="A229" s="8">
        <v>115</v>
      </c>
      <c r="B229" s="8" t="str">
        <f t="shared" si="4"/>
        <v>S115</v>
      </c>
      <c r="C229" s="18" t="s">
        <v>29</v>
      </c>
      <c r="D229" s="13" t="s">
        <v>253</v>
      </c>
      <c r="E229" s="18" t="s">
        <v>476</v>
      </c>
      <c r="F229" s="17" t="s">
        <v>477</v>
      </c>
      <c r="G229" s="8">
        <v>10</v>
      </c>
      <c r="H229" s="13" t="s">
        <v>8</v>
      </c>
      <c r="I229" s="8" t="s">
        <v>478</v>
      </c>
    </row>
    <row r="230" spans="1:9" x14ac:dyDescent="0.35">
      <c r="A230" s="8">
        <v>116</v>
      </c>
      <c r="B230" s="8" t="str">
        <f t="shared" si="4"/>
        <v>S116</v>
      </c>
      <c r="C230" s="18" t="s">
        <v>23</v>
      </c>
      <c r="D230" s="13" t="s">
        <v>253</v>
      </c>
      <c r="E230" s="18" t="s">
        <v>479</v>
      </c>
      <c r="F230" s="17" t="s">
        <v>477</v>
      </c>
      <c r="G230" s="8">
        <v>10</v>
      </c>
      <c r="H230" s="13" t="s">
        <v>8</v>
      </c>
      <c r="I230" s="8" t="s">
        <v>478</v>
      </c>
    </row>
    <row r="231" spans="1:9" ht="43.5" x14ac:dyDescent="0.35">
      <c r="A231" s="10">
        <v>117</v>
      </c>
      <c r="B231" s="8" t="str">
        <f t="shared" si="4"/>
        <v>S117</v>
      </c>
      <c r="C231" s="18" t="s">
        <v>23</v>
      </c>
      <c r="D231" s="13" t="s">
        <v>253</v>
      </c>
      <c r="E231" s="18" t="s">
        <v>480</v>
      </c>
      <c r="F231" s="17" t="s">
        <v>481</v>
      </c>
      <c r="G231" s="8">
        <v>10</v>
      </c>
      <c r="H231" s="13" t="s">
        <v>8</v>
      </c>
      <c r="I231" s="8" t="s">
        <v>482</v>
      </c>
    </row>
    <row r="232" spans="1:9" ht="58" x14ac:dyDescent="0.35">
      <c r="A232" s="8">
        <v>118</v>
      </c>
      <c r="B232" s="8" t="str">
        <f t="shared" si="4"/>
        <v>S118</v>
      </c>
      <c r="C232" s="18" t="s">
        <v>29</v>
      </c>
      <c r="D232" s="13" t="s">
        <v>253</v>
      </c>
      <c r="E232" s="18" t="s">
        <v>483</v>
      </c>
      <c r="F232" s="17" t="s">
        <v>484</v>
      </c>
      <c r="G232" s="8">
        <v>11</v>
      </c>
      <c r="H232" s="13" t="s">
        <v>9</v>
      </c>
      <c r="I232" s="20" t="s">
        <v>220</v>
      </c>
    </row>
    <row r="233" spans="1:9" ht="72.5" x14ac:dyDescent="0.35">
      <c r="A233" s="8">
        <v>119</v>
      </c>
      <c r="B233" s="8" t="str">
        <f t="shared" si="4"/>
        <v>S119</v>
      </c>
      <c r="C233" s="18" t="s">
        <v>23</v>
      </c>
      <c r="D233" s="13" t="s">
        <v>253</v>
      </c>
      <c r="E233" s="18" t="s">
        <v>485</v>
      </c>
      <c r="F233" s="17" t="s">
        <v>486</v>
      </c>
      <c r="G233" s="8">
        <v>11</v>
      </c>
      <c r="H233" s="13" t="s">
        <v>9</v>
      </c>
      <c r="I233" s="20" t="s">
        <v>487</v>
      </c>
    </row>
    <row r="234" spans="1:9" ht="29" x14ac:dyDescent="0.35">
      <c r="A234" s="8">
        <v>120</v>
      </c>
      <c r="B234" s="8" t="str">
        <f t="shared" si="4"/>
        <v>S120</v>
      </c>
      <c r="C234" s="18" t="s">
        <v>23</v>
      </c>
      <c r="D234" s="13" t="s">
        <v>253</v>
      </c>
      <c r="E234" s="18" t="s">
        <v>488</v>
      </c>
      <c r="F234" s="17" t="s">
        <v>489</v>
      </c>
      <c r="G234" s="8">
        <v>11</v>
      </c>
      <c r="H234" s="13" t="s">
        <v>9</v>
      </c>
      <c r="I234" s="20" t="s">
        <v>490</v>
      </c>
    </row>
    <row r="235" spans="1:9" ht="29" x14ac:dyDescent="0.35">
      <c r="A235" s="8">
        <v>121</v>
      </c>
      <c r="B235" s="8" t="str">
        <f t="shared" si="4"/>
        <v>S121</v>
      </c>
      <c r="C235" s="18" t="s">
        <v>23</v>
      </c>
      <c r="D235" s="13" t="s">
        <v>253</v>
      </c>
      <c r="E235" s="18" t="s">
        <v>491</v>
      </c>
      <c r="F235" s="17" t="s">
        <v>489</v>
      </c>
      <c r="G235" s="8">
        <v>11</v>
      </c>
      <c r="H235" s="13" t="s">
        <v>9</v>
      </c>
      <c r="I235" s="20" t="s">
        <v>490</v>
      </c>
    </row>
    <row r="236" spans="1:9" ht="72.5" x14ac:dyDescent="0.35">
      <c r="A236" s="8">
        <v>122</v>
      </c>
      <c r="B236" s="8" t="str">
        <f t="shared" si="4"/>
        <v>S122</v>
      </c>
      <c r="C236" s="18" t="s">
        <v>23</v>
      </c>
      <c r="D236" s="13" t="s">
        <v>253</v>
      </c>
      <c r="E236" s="18" t="s">
        <v>492</v>
      </c>
      <c r="F236" s="17" t="s">
        <v>489</v>
      </c>
      <c r="G236" s="8">
        <v>11</v>
      </c>
      <c r="H236" s="13" t="s">
        <v>9</v>
      </c>
      <c r="I236" s="20" t="s">
        <v>490</v>
      </c>
    </row>
    <row r="237" spans="1:9" ht="29" x14ac:dyDescent="0.35">
      <c r="A237" s="8">
        <v>123</v>
      </c>
      <c r="B237" s="8" t="str">
        <f t="shared" si="4"/>
        <v>S123</v>
      </c>
      <c r="C237" s="18" t="s">
        <v>23</v>
      </c>
      <c r="D237" s="13" t="s">
        <v>253</v>
      </c>
      <c r="E237" s="18" t="s">
        <v>493</v>
      </c>
      <c r="F237" s="17" t="s">
        <v>489</v>
      </c>
      <c r="G237" s="8">
        <v>11</v>
      </c>
      <c r="H237" s="13" t="s">
        <v>9</v>
      </c>
      <c r="I237" s="20" t="s">
        <v>490</v>
      </c>
    </row>
    <row r="238" spans="1:9" ht="29" x14ac:dyDescent="0.35">
      <c r="A238" s="8">
        <v>124</v>
      </c>
      <c r="B238" s="8" t="str">
        <f t="shared" si="4"/>
        <v>S124</v>
      </c>
      <c r="C238" s="18" t="s">
        <v>23</v>
      </c>
      <c r="D238" s="13" t="s">
        <v>253</v>
      </c>
      <c r="E238" s="18" t="s">
        <v>494</v>
      </c>
      <c r="F238" s="17" t="s">
        <v>495</v>
      </c>
      <c r="G238" s="8">
        <v>11</v>
      </c>
      <c r="H238" s="13" t="s">
        <v>9</v>
      </c>
      <c r="I238" s="20" t="s">
        <v>496</v>
      </c>
    </row>
    <row r="239" spans="1:9" ht="29" x14ac:dyDescent="0.35">
      <c r="A239" s="8">
        <v>125</v>
      </c>
      <c r="B239" s="8" t="str">
        <f t="shared" si="4"/>
        <v>S125</v>
      </c>
      <c r="C239" s="18" t="s">
        <v>29</v>
      </c>
      <c r="D239" s="13" t="s">
        <v>253</v>
      </c>
      <c r="E239" s="18" t="s">
        <v>497</v>
      </c>
      <c r="F239" s="17" t="s">
        <v>495</v>
      </c>
      <c r="G239" s="8">
        <v>11</v>
      </c>
      <c r="H239" s="13" t="s">
        <v>9</v>
      </c>
      <c r="I239" s="20" t="s">
        <v>496</v>
      </c>
    </row>
    <row r="240" spans="1:9" ht="29" x14ac:dyDescent="0.35">
      <c r="A240" s="8">
        <v>126</v>
      </c>
      <c r="B240" s="8" t="str">
        <f t="shared" si="4"/>
        <v>S126</v>
      </c>
      <c r="C240" s="18" t="s">
        <v>23</v>
      </c>
      <c r="D240" s="13" t="s">
        <v>253</v>
      </c>
      <c r="E240" s="18" t="s">
        <v>498</v>
      </c>
      <c r="F240" s="17" t="s">
        <v>499</v>
      </c>
      <c r="G240" s="8">
        <v>11</v>
      </c>
      <c r="H240" s="13" t="s">
        <v>9</v>
      </c>
      <c r="I240" s="20" t="s">
        <v>500</v>
      </c>
    </row>
    <row r="241" spans="1:9" ht="29" x14ac:dyDescent="0.35">
      <c r="A241" s="8">
        <v>127</v>
      </c>
      <c r="B241" s="8" t="str">
        <f t="shared" si="4"/>
        <v>S127</v>
      </c>
      <c r="C241" s="18" t="s">
        <v>29</v>
      </c>
      <c r="D241" s="13" t="s">
        <v>253</v>
      </c>
      <c r="E241" s="18" t="s">
        <v>501</v>
      </c>
      <c r="F241" s="17" t="s">
        <v>502</v>
      </c>
      <c r="G241" s="8">
        <v>11</v>
      </c>
      <c r="H241" s="13" t="s">
        <v>9</v>
      </c>
      <c r="I241" s="20" t="s">
        <v>503</v>
      </c>
    </row>
    <row r="242" spans="1:9" ht="29" x14ac:dyDescent="0.35">
      <c r="A242" s="8">
        <v>128</v>
      </c>
      <c r="B242" s="8" t="str">
        <f t="shared" si="4"/>
        <v>S128</v>
      </c>
      <c r="C242" s="18" t="s">
        <v>29</v>
      </c>
      <c r="D242" s="13" t="s">
        <v>253</v>
      </c>
      <c r="E242" s="18" t="s">
        <v>504</v>
      </c>
      <c r="F242" s="17" t="s">
        <v>502</v>
      </c>
      <c r="G242" s="8">
        <v>11</v>
      </c>
      <c r="H242" s="13" t="s">
        <v>9</v>
      </c>
      <c r="I242" s="20" t="s">
        <v>503</v>
      </c>
    </row>
    <row r="243" spans="1:9" ht="43.5" x14ac:dyDescent="0.35">
      <c r="A243" s="8">
        <v>129</v>
      </c>
      <c r="B243" s="8" t="str">
        <f t="shared" ref="B243:B274" si="5">"S"&amp;A243</f>
        <v>S129</v>
      </c>
      <c r="C243" s="18" t="s">
        <v>23</v>
      </c>
      <c r="D243" s="13" t="s">
        <v>253</v>
      </c>
      <c r="E243" s="18" t="s">
        <v>505</v>
      </c>
      <c r="F243" s="17" t="s">
        <v>506</v>
      </c>
      <c r="G243" s="8">
        <v>11</v>
      </c>
      <c r="H243" s="13" t="s">
        <v>9</v>
      </c>
      <c r="I243" s="20" t="s">
        <v>507</v>
      </c>
    </row>
    <row r="244" spans="1:9" ht="43.5" x14ac:dyDescent="0.35">
      <c r="A244" s="8">
        <v>130</v>
      </c>
      <c r="B244" s="8" t="str">
        <f t="shared" si="5"/>
        <v>S130</v>
      </c>
      <c r="C244" s="18" t="s">
        <v>23</v>
      </c>
      <c r="D244" s="13" t="s">
        <v>253</v>
      </c>
      <c r="E244" s="18" t="s">
        <v>508</v>
      </c>
      <c r="F244" s="17" t="s">
        <v>506</v>
      </c>
      <c r="G244" s="8">
        <v>11</v>
      </c>
      <c r="H244" s="13" t="s">
        <v>9</v>
      </c>
      <c r="I244" s="20" t="s">
        <v>507</v>
      </c>
    </row>
    <row r="245" spans="1:9" ht="29" x14ac:dyDescent="0.35">
      <c r="A245" s="8">
        <v>131</v>
      </c>
      <c r="B245" s="8" t="str">
        <f t="shared" si="5"/>
        <v>S131</v>
      </c>
      <c r="C245" s="18" t="s">
        <v>23</v>
      </c>
      <c r="D245" s="13" t="s">
        <v>253</v>
      </c>
      <c r="E245" s="18" t="s">
        <v>509</v>
      </c>
      <c r="F245" s="17" t="s">
        <v>510</v>
      </c>
      <c r="G245" s="8">
        <v>11</v>
      </c>
      <c r="H245" s="13" t="s">
        <v>9</v>
      </c>
      <c r="I245" s="20" t="s">
        <v>511</v>
      </c>
    </row>
    <row r="246" spans="1:9" ht="29" x14ac:dyDescent="0.35">
      <c r="A246" s="8">
        <v>132</v>
      </c>
      <c r="B246" s="8" t="str">
        <f t="shared" si="5"/>
        <v>S132</v>
      </c>
      <c r="C246" s="18" t="s">
        <v>29</v>
      </c>
      <c r="D246" s="13" t="s">
        <v>253</v>
      </c>
      <c r="E246" s="18" t="s">
        <v>512</v>
      </c>
      <c r="F246" s="17" t="s">
        <v>510</v>
      </c>
      <c r="G246" s="8">
        <v>11</v>
      </c>
      <c r="H246" s="13" t="s">
        <v>9</v>
      </c>
      <c r="I246" s="20" t="s">
        <v>511</v>
      </c>
    </row>
    <row r="247" spans="1:9" ht="29" x14ac:dyDescent="0.35">
      <c r="A247" s="8">
        <v>133</v>
      </c>
      <c r="B247" s="8" t="str">
        <f t="shared" si="5"/>
        <v>S133</v>
      </c>
      <c r="C247" s="18" t="s">
        <v>23</v>
      </c>
      <c r="D247" s="13" t="s">
        <v>253</v>
      </c>
      <c r="E247" s="18" t="s">
        <v>513</v>
      </c>
      <c r="F247" s="17" t="s">
        <v>514</v>
      </c>
      <c r="G247" s="8">
        <v>11</v>
      </c>
      <c r="H247" s="13" t="s">
        <v>9</v>
      </c>
      <c r="I247" s="20" t="s">
        <v>515</v>
      </c>
    </row>
    <row r="248" spans="1:9" ht="29" x14ac:dyDescent="0.35">
      <c r="A248" s="8">
        <v>134</v>
      </c>
      <c r="B248" s="8" t="str">
        <f t="shared" si="5"/>
        <v>S134</v>
      </c>
      <c r="C248" s="18" t="s">
        <v>29</v>
      </c>
      <c r="D248" s="13" t="s">
        <v>253</v>
      </c>
      <c r="E248" s="18" t="s">
        <v>516</v>
      </c>
      <c r="F248" s="17" t="s">
        <v>514</v>
      </c>
      <c r="G248" s="8">
        <v>11</v>
      </c>
      <c r="H248" s="13" t="s">
        <v>9</v>
      </c>
      <c r="I248" s="20" t="s">
        <v>515</v>
      </c>
    </row>
    <row r="249" spans="1:9" ht="29" x14ac:dyDescent="0.35">
      <c r="A249" s="8">
        <v>135</v>
      </c>
      <c r="B249" s="8" t="str">
        <f t="shared" si="5"/>
        <v>S135</v>
      </c>
      <c r="C249" s="18" t="s">
        <v>29</v>
      </c>
      <c r="D249" s="13" t="s">
        <v>253</v>
      </c>
      <c r="E249" s="18" t="s">
        <v>517</v>
      </c>
      <c r="F249" s="17" t="s">
        <v>518</v>
      </c>
      <c r="G249" s="8">
        <v>11</v>
      </c>
      <c r="H249" s="13" t="s">
        <v>9</v>
      </c>
      <c r="I249" s="20" t="s">
        <v>519</v>
      </c>
    </row>
    <row r="250" spans="1:9" ht="43.5" x14ac:dyDescent="0.35">
      <c r="A250" s="8">
        <v>136</v>
      </c>
      <c r="B250" s="8" t="str">
        <f t="shared" si="5"/>
        <v>S136</v>
      </c>
      <c r="C250" s="18" t="s">
        <v>23</v>
      </c>
      <c r="D250" s="13" t="s">
        <v>253</v>
      </c>
      <c r="E250" s="18" t="s">
        <v>520</v>
      </c>
      <c r="F250" s="17" t="s">
        <v>518</v>
      </c>
      <c r="G250" s="8">
        <v>11</v>
      </c>
      <c r="H250" s="13" t="s">
        <v>9</v>
      </c>
      <c r="I250" s="20" t="s">
        <v>519</v>
      </c>
    </row>
    <row r="251" spans="1:9" ht="101.5" x14ac:dyDescent="0.35">
      <c r="A251" s="8">
        <v>137</v>
      </c>
      <c r="B251" s="8" t="str">
        <f t="shared" si="5"/>
        <v>S137</v>
      </c>
      <c r="C251" s="18" t="s">
        <v>29</v>
      </c>
      <c r="D251" s="13" t="s">
        <v>253</v>
      </c>
      <c r="E251" s="18" t="s">
        <v>521</v>
      </c>
      <c r="F251" s="17" t="s">
        <v>522</v>
      </c>
      <c r="G251" s="8">
        <v>11</v>
      </c>
      <c r="H251" s="13" t="s">
        <v>9</v>
      </c>
      <c r="I251" s="20" t="s">
        <v>523</v>
      </c>
    </row>
    <row r="252" spans="1:9" ht="43.5" x14ac:dyDescent="0.35">
      <c r="A252" s="8">
        <v>138</v>
      </c>
      <c r="B252" s="8" t="str">
        <f t="shared" si="5"/>
        <v>S138</v>
      </c>
      <c r="C252" s="18" t="s">
        <v>29</v>
      </c>
      <c r="D252" s="13" t="s">
        <v>253</v>
      </c>
      <c r="E252" s="18" t="s">
        <v>524</v>
      </c>
      <c r="F252" s="17" t="s">
        <v>525</v>
      </c>
      <c r="G252" s="8">
        <v>11</v>
      </c>
      <c r="H252" s="13" t="s">
        <v>9</v>
      </c>
      <c r="I252" s="20" t="s">
        <v>526</v>
      </c>
    </row>
    <row r="253" spans="1:9" ht="43.5" x14ac:dyDescent="0.35">
      <c r="A253" s="8">
        <v>139</v>
      </c>
      <c r="B253" s="8" t="str">
        <f t="shared" si="5"/>
        <v>S139</v>
      </c>
      <c r="C253" s="18" t="s">
        <v>29</v>
      </c>
      <c r="D253" s="13" t="s">
        <v>253</v>
      </c>
      <c r="E253" s="18" t="s">
        <v>527</v>
      </c>
      <c r="F253" s="17" t="s">
        <v>528</v>
      </c>
      <c r="G253" s="8">
        <v>11</v>
      </c>
      <c r="H253" s="13" t="s">
        <v>9</v>
      </c>
      <c r="I253" s="20" t="s">
        <v>529</v>
      </c>
    </row>
    <row r="254" spans="1:9" ht="58" x14ac:dyDescent="0.35">
      <c r="A254" s="8">
        <v>140</v>
      </c>
      <c r="B254" s="8" t="str">
        <f t="shared" si="5"/>
        <v>S140</v>
      </c>
      <c r="C254" s="18" t="s">
        <v>29</v>
      </c>
      <c r="D254" s="13" t="s">
        <v>253</v>
      </c>
      <c r="E254" s="18" t="s">
        <v>530</v>
      </c>
      <c r="F254" s="17" t="s">
        <v>531</v>
      </c>
      <c r="G254" s="8">
        <v>13</v>
      </c>
      <c r="H254" s="13" t="s">
        <v>10</v>
      </c>
      <c r="I254" s="8" t="s">
        <v>532</v>
      </c>
    </row>
    <row r="255" spans="1:9" ht="29" x14ac:dyDescent="0.35">
      <c r="A255" s="8">
        <v>141</v>
      </c>
      <c r="B255" s="8" t="str">
        <f t="shared" si="5"/>
        <v>S141</v>
      </c>
      <c r="C255" s="18" t="s">
        <v>23</v>
      </c>
      <c r="D255" s="13" t="s">
        <v>253</v>
      </c>
      <c r="E255" s="18" t="s">
        <v>533</v>
      </c>
      <c r="F255" s="17" t="s">
        <v>531</v>
      </c>
      <c r="G255" s="8">
        <v>13</v>
      </c>
      <c r="H255" s="13" t="s">
        <v>10</v>
      </c>
      <c r="I255" s="8" t="s">
        <v>532</v>
      </c>
    </row>
    <row r="256" spans="1:9" ht="43.5" x14ac:dyDescent="0.35">
      <c r="A256" s="8">
        <v>142</v>
      </c>
      <c r="B256" s="8" t="str">
        <f t="shared" si="5"/>
        <v>S142</v>
      </c>
      <c r="C256" s="18" t="s">
        <v>23</v>
      </c>
      <c r="D256" s="13" t="s">
        <v>253</v>
      </c>
      <c r="E256" s="18" t="s">
        <v>534</v>
      </c>
      <c r="F256" s="17" t="s">
        <v>535</v>
      </c>
      <c r="G256" s="8">
        <v>13</v>
      </c>
      <c r="H256" s="13" t="s">
        <v>10</v>
      </c>
      <c r="I256" s="8" t="s">
        <v>536</v>
      </c>
    </row>
    <row r="257" spans="1:9" ht="29" x14ac:dyDescent="0.35">
      <c r="A257" s="8">
        <v>143</v>
      </c>
      <c r="B257" s="8" t="str">
        <f t="shared" si="5"/>
        <v>S143</v>
      </c>
      <c r="C257" s="18" t="s">
        <v>29</v>
      </c>
      <c r="D257" s="13" t="s">
        <v>253</v>
      </c>
      <c r="E257" s="18" t="s">
        <v>537</v>
      </c>
      <c r="F257" s="17" t="s">
        <v>538</v>
      </c>
      <c r="G257" s="8">
        <v>13</v>
      </c>
      <c r="H257" s="13" t="s">
        <v>10</v>
      </c>
      <c r="I257" s="8" t="s">
        <v>539</v>
      </c>
    </row>
    <row r="258" spans="1:9" ht="43.5" x14ac:dyDescent="0.35">
      <c r="A258" s="8">
        <v>144</v>
      </c>
      <c r="B258" s="8" t="str">
        <f t="shared" si="5"/>
        <v>S144</v>
      </c>
      <c r="C258" s="18" t="s">
        <v>23</v>
      </c>
      <c r="D258" s="13" t="s">
        <v>253</v>
      </c>
      <c r="E258" s="18" t="s">
        <v>540</v>
      </c>
      <c r="F258" s="17" t="s">
        <v>538</v>
      </c>
      <c r="G258" s="8">
        <v>13</v>
      </c>
      <c r="H258" s="13" t="s">
        <v>10</v>
      </c>
      <c r="I258" s="8" t="s">
        <v>539</v>
      </c>
    </row>
    <row r="259" spans="1:9" ht="43.5" x14ac:dyDescent="0.35">
      <c r="A259" s="8">
        <v>145</v>
      </c>
      <c r="B259" s="8" t="str">
        <f t="shared" si="5"/>
        <v>S145</v>
      </c>
      <c r="C259" s="18" t="s">
        <v>23</v>
      </c>
      <c r="D259" s="13" t="s">
        <v>253</v>
      </c>
      <c r="E259" s="18" t="s">
        <v>541</v>
      </c>
      <c r="F259" s="17" t="s">
        <v>542</v>
      </c>
      <c r="G259" s="8">
        <v>13</v>
      </c>
      <c r="H259" s="13" t="s">
        <v>10</v>
      </c>
      <c r="I259" s="8" t="s">
        <v>543</v>
      </c>
    </row>
    <row r="260" spans="1:9" ht="29" x14ac:dyDescent="0.35">
      <c r="A260" s="8">
        <v>146</v>
      </c>
      <c r="B260" s="8" t="str">
        <f t="shared" si="5"/>
        <v>S146</v>
      </c>
      <c r="C260" s="18" t="s">
        <v>23</v>
      </c>
      <c r="D260" s="13" t="s">
        <v>253</v>
      </c>
      <c r="E260" s="18" t="s">
        <v>544</v>
      </c>
      <c r="F260" s="17" t="s">
        <v>542</v>
      </c>
      <c r="G260" s="8">
        <v>13</v>
      </c>
      <c r="H260" s="13" t="s">
        <v>10</v>
      </c>
      <c r="I260" s="8" t="s">
        <v>543</v>
      </c>
    </row>
    <row r="261" spans="1:9" ht="58" x14ac:dyDescent="0.35">
      <c r="A261" s="13">
        <v>147</v>
      </c>
      <c r="B261" s="8" t="str">
        <f t="shared" si="5"/>
        <v>S147</v>
      </c>
      <c r="C261" s="18" t="s">
        <v>23</v>
      </c>
      <c r="D261" s="13" t="s">
        <v>253</v>
      </c>
      <c r="E261" s="18" t="s">
        <v>545</v>
      </c>
      <c r="F261" s="17" t="s">
        <v>546</v>
      </c>
      <c r="G261" s="8">
        <v>13</v>
      </c>
      <c r="H261" s="13" t="s">
        <v>10</v>
      </c>
      <c r="I261" s="8" t="s">
        <v>547</v>
      </c>
    </row>
    <row r="262" spans="1:9" ht="29" x14ac:dyDescent="0.35">
      <c r="A262" s="8">
        <v>148</v>
      </c>
      <c r="B262" s="8" t="str">
        <f t="shared" si="5"/>
        <v>S148</v>
      </c>
      <c r="C262" s="18" t="s">
        <v>23</v>
      </c>
      <c r="D262" s="13" t="s">
        <v>253</v>
      </c>
      <c r="E262" s="18" t="s">
        <v>548</v>
      </c>
      <c r="F262" s="17" t="s">
        <v>546</v>
      </c>
      <c r="G262" s="8">
        <v>13</v>
      </c>
      <c r="H262" s="13" t="s">
        <v>10</v>
      </c>
      <c r="I262" s="8" t="s">
        <v>547</v>
      </c>
    </row>
    <row r="263" spans="1:9" ht="43.5" x14ac:dyDescent="0.35">
      <c r="A263" s="8">
        <v>149</v>
      </c>
      <c r="B263" s="8" t="str">
        <f t="shared" si="5"/>
        <v>S149</v>
      </c>
      <c r="C263" s="18" t="s">
        <v>23</v>
      </c>
      <c r="D263" s="13" t="s">
        <v>253</v>
      </c>
      <c r="E263" s="18" t="s">
        <v>549</v>
      </c>
      <c r="F263" s="17" t="s">
        <v>550</v>
      </c>
      <c r="G263" s="8">
        <v>13</v>
      </c>
      <c r="H263" s="13" t="s">
        <v>10</v>
      </c>
      <c r="I263" s="8" t="s">
        <v>551</v>
      </c>
    </row>
    <row r="264" spans="1:9" ht="29" x14ac:dyDescent="0.35">
      <c r="A264" s="8">
        <v>150</v>
      </c>
      <c r="B264" s="8" t="str">
        <f t="shared" si="5"/>
        <v>S150</v>
      </c>
      <c r="C264" s="18" t="s">
        <v>29</v>
      </c>
      <c r="D264" s="13" t="s">
        <v>253</v>
      </c>
      <c r="E264" s="18" t="s">
        <v>552</v>
      </c>
      <c r="F264" s="17" t="s">
        <v>553</v>
      </c>
      <c r="G264" s="8">
        <v>14</v>
      </c>
      <c r="H264" s="13" t="s">
        <v>554</v>
      </c>
      <c r="I264" s="8" t="s">
        <v>555</v>
      </c>
    </row>
    <row r="265" spans="1:9" ht="29" x14ac:dyDescent="0.35">
      <c r="A265" s="8">
        <v>151</v>
      </c>
      <c r="B265" s="8" t="str">
        <f t="shared" si="5"/>
        <v>S151</v>
      </c>
      <c r="C265" s="18" t="s">
        <v>23</v>
      </c>
      <c r="D265" s="13" t="s">
        <v>253</v>
      </c>
      <c r="E265" s="18" t="s">
        <v>556</v>
      </c>
      <c r="F265" s="17" t="s">
        <v>553</v>
      </c>
      <c r="G265" s="8">
        <v>14</v>
      </c>
      <c r="H265" s="13" t="s">
        <v>554</v>
      </c>
      <c r="I265" s="8" t="s">
        <v>555</v>
      </c>
    </row>
    <row r="266" spans="1:9" ht="43.5" x14ac:dyDescent="0.35">
      <c r="A266" s="8">
        <v>152</v>
      </c>
      <c r="B266" s="8" t="str">
        <f t="shared" si="5"/>
        <v>S152</v>
      </c>
      <c r="C266" s="18" t="s">
        <v>29</v>
      </c>
      <c r="D266" s="13" t="s">
        <v>253</v>
      </c>
      <c r="E266" s="18" t="s">
        <v>557</v>
      </c>
      <c r="F266" s="17" t="s">
        <v>558</v>
      </c>
      <c r="G266" s="8">
        <v>14</v>
      </c>
      <c r="H266" s="13" t="s">
        <v>554</v>
      </c>
      <c r="I266" s="8" t="s">
        <v>559</v>
      </c>
    </row>
    <row r="267" spans="1:9" ht="58" x14ac:dyDescent="0.35">
      <c r="A267" s="8">
        <v>153</v>
      </c>
      <c r="B267" s="8" t="str">
        <f t="shared" si="5"/>
        <v>S153</v>
      </c>
      <c r="C267" s="18" t="s">
        <v>23</v>
      </c>
      <c r="D267" s="13" t="s">
        <v>253</v>
      </c>
      <c r="E267" s="18" t="s">
        <v>560</v>
      </c>
      <c r="F267" s="17" t="s">
        <v>558</v>
      </c>
      <c r="G267" s="8">
        <v>14</v>
      </c>
      <c r="H267" s="13" t="s">
        <v>554</v>
      </c>
      <c r="I267" s="8" t="s">
        <v>559</v>
      </c>
    </row>
    <row r="268" spans="1:9" ht="72.5" x14ac:dyDescent="0.35">
      <c r="A268" s="8">
        <v>154</v>
      </c>
      <c r="B268" s="8" t="str">
        <f t="shared" si="5"/>
        <v>S154</v>
      </c>
      <c r="C268" s="18" t="s">
        <v>23</v>
      </c>
      <c r="D268" s="13" t="s">
        <v>253</v>
      </c>
      <c r="E268" s="18" t="s">
        <v>561</v>
      </c>
      <c r="F268" s="17" t="s">
        <v>562</v>
      </c>
      <c r="G268" s="8">
        <v>14</v>
      </c>
      <c r="H268" s="13" t="s">
        <v>554</v>
      </c>
      <c r="I268" s="8" t="s">
        <v>563</v>
      </c>
    </row>
    <row r="269" spans="1:9" ht="58" x14ac:dyDescent="0.35">
      <c r="A269" s="8">
        <v>155</v>
      </c>
      <c r="B269" s="8" t="str">
        <f t="shared" si="5"/>
        <v>S155</v>
      </c>
      <c r="C269" s="18" t="s">
        <v>23</v>
      </c>
      <c r="D269" s="13" t="s">
        <v>253</v>
      </c>
      <c r="E269" s="18" t="s">
        <v>564</v>
      </c>
      <c r="F269" s="17" t="s">
        <v>562</v>
      </c>
      <c r="G269" s="8">
        <v>14</v>
      </c>
      <c r="H269" s="13" t="s">
        <v>554</v>
      </c>
      <c r="I269" s="8" t="s">
        <v>563</v>
      </c>
    </row>
    <row r="270" spans="1:9" ht="43.5" x14ac:dyDescent="0.35">
      <c r="A270" s="8">
        <v>156</v>
      </c>
      <c r="B270" s="8" t="str">
        <f t="shared" si="5"/>
        <v>S156</v>
      </c>
      <c r="C270" s="18" t="s">
        <v>29</v>
      </c>
      <c r="D270" s="13" t="s">
        <v>253</v>
      </c>
      <c r="E270" s="18" t="s">
        <v>565</v>
      </c>
      <c r="F270" s="17" t="s">
        <v>566</v>
      </c>
      <c r="G270" s="8">
        <v>14</v>
      </c>
      <c r="H270" s="13" t="s">
        <v>554</v>
      </c>
      <c r="I270" s="8" t="s">
        <v>567</v>
      </c>
    </row>
    <row r="271" spans="1:9" ht="43.5" x14ac:dyDescent="0.35">
      <c r="A271" s="13">
        <v>157</v>
      </c>
      <c r="B271" s="8" t="str">
        <f t="shared" si="5"/>
        <v>S157</v>
      </c>
      <c r="C271" s="18" t="s">
        <v>23</v>
      </c>
      <c r="D271" s="13" t="s">
        <v>253</v>
      </c>
      <c r="E271" s="18" t="s">
        <v>568</v>
      </c>
      <c r="F271" s="17" t="s">
        <v>569</v>
      </c>
      <c r="G271" s="8">
        <v>14</v>
      </c>
      <c r="H271" s="13" t="s">
        <v>554</v>
      </c>
      <c r="I271" s="8" t="s">
        <v>570</v>
      </c>
    </row>
    <row r="272" spans="1:9" ht="43.5" x14ac:dyDescent="0.35">
      <c r="A272" s="8">
        <v>158</v>
      </c>
      <c r="B272" s="8" t="str">
        <f t="shared" si="5"/>
        <v>S158</v>
      </c>
      <c r="C272" s="18" t="s">
        <v>29</v>
      </c>
      <c r="D272" s="13" t="s">
        <v>253</v>
      </c>
      <c r="E272" s="18" t="s">
        <v>571</v>
      </c>
      <c r="F272" s="17" t="s">
        <v>572</v>
      </c>
      <c r="G272" s="8">
        <v>15</v>
      </c>
      <c r="H272" s="13" t="s">
        <v>12</v>
      </c>
      <c r="I272" s="8" t="s">
        <v>573</v>
      </c>
    </row>
    <row r="273" spans="1:9" ht="58" x14ac:dyDescent="0.35">
      <c r="A273" s="8">
        <v>159</v>
      </c>
      <c r="B273" s="8" t="str">
        <f t="shared" si="5"/>
        <v>S159</v>
      </c>
      <c r="C273" s="18" t="s">
        <v>23</v>
      </c>
      <c r="D273" s="13" t="s">
        <v>253</v>
      </c>
      <c r="E273" s="18" t="s">
        <v>574</v>
      </c>
      <c r="F273" s="17" t="s">
        <v>572</v>
      </c>
      <c r="G273" s="8">
        <v>15</v>
      </c>
      <c r="H273" s="13" t="s">
        <v>12</v>
      </c>
      <c r="I273" s="8" t="s">
        <v>573</v>
      </c>
    </row>
    <row r="274" spans="1:9" ht="43.5" x14ac:dyDescent="0.35">
      <c r="A274" s="8">
        <v>160</v>
      </c>
      <c r="B274" s="8" t="str">
        <f t="shared" si="5"/>
        <v>S160</v>
      </c>
      <c r="C274" s="18" t="s">
        <v>23</v>
      </c>
      <c r="D274" s="13" t="s">
        <v>253</v>
      </c>
      <c r="E274" s="18" t="s">
        <v>575</v>
      </c>
      <c r="F274" s="17" t="s">
        <v>576</v>
      </c>
      <c r="G274" s="8">
        <v>15</v>
      </c>
      <c r="H274" s="13" t="s">
        <v>12</v>
      </c>
      <c r="I274" s="8" t="s">
        <v>577</v>
      </c>
    </row>
    <row r="275" spans="1:9" ht="29" x14ac:dyDescent="0.35">
      <c r="A275" s="8">
        <v>161</v>
      </c>
      <c r="B275" s="8" t="str">
        <f t="shared" ref="B275:B302" si="6">"S"&amp;A275</f>
        <v>S161</v>
      </c>
      <c r="C275" s="18" t="s">
        <v>23</v>
      </c>
      <c r="D275" s="13" t="s">
        <v>253</v>
      </c>
      <c r="E275" s="18" t="s">
        <v>578</v>
      </c>
      <c r="F275" s="17" t="s">
        <v>576</v>
      </c>
      <c r="G275" s="8">
        <v>15</v>
      </c>
      <c r="H275" s="13" t="s">
        <v>12</v>
      </c>
      <c r="I275" s="8" t="s">
        <v>577</v>
      </c>
    </row>
    <row r="276" spans="1:9" ht="43.5" x14ac:dyDescent="0.35">
      <c r="A276" s="8">
        <v>162</v>
      </c>
      <c r="B276" s="8" t="str">
        <f t="shared" si="6"/>
        <v>S162</v>
      </c>
      <c r="C276" s="18" t="s">
        <v>23</v>
      </c>
      <c r="D276" s="13" t="s">
        <v>253</v>
      </c>
      <c r="E276" s="18" t="s">
        <v>579</v>
      </c>
      <c r="F276" s="17" t="s">
        <v>576</v>
      </c>
      <c r="G276" s="8">
        <v>15</v>
      </c>
      <c r="H276" s="13" t="s">
        <v>12</v>
      </c>
      <c r="I276" s="8" t="s">
        <v>577</v>
      </c>
    </row>
    <row r="277" spans="1:9" ht="43.5" x14ac:dyDescent="0.35">
      <c r="A277" s="8">
        <v>163</v>
      </c>
      <c r="B277" s="8" t="str">
        <f t="shared" si="6"/>
        <v>S163</v>
      </c>
      <c r="C277" s="18" t="s">
        <v>23</v>
      </c>
      <c r="D277" s="13" t="s">
        <v>253</v>
      </c>
      <c r="E277" s="18" t="s">
        <v>580</v>
      </c>
      <c r="F277" s="17" t="s">
        <v>581</v>
      </c>
      <c r="G277" s="8">
        <v>15</v>
      </c>
      <c r="H277" s="13" t="s">
        <v>12</v>
      </c>
      <c r="I277" s="8" t="s">
        <v>582</v>
      </c>
    </row>
    <row r="278" spans="1:9" x14ac:dyDescent="0.35">
      <c r="A278" s="8">
        <v>164</v>
      </c>
      <c r="B278" s="8" t="str">
        <f t="shared" si="6"/>
        <v>S164</v>
      </c>
      <c r="C278" s="18" t="s">
        <v>23</v>
      </c>
      <c r="D278" s="13" t="s">
        <v>253</v>
      </c>
      <c r="E278" s="18" t="s">
        <v>583</v>
      </c>
      <c r="F278" s="17" t="s">
        <v>584</v>
      </c>
      <c r="G278" s="8">
        <v>15</v>
      </c>
      <c r="H278" s="13" t="s">
        <v>12</v>
      </c>
      <c r="I278" s="8" t="s">
        <v>585</v>
      </c>
    </row>
    <row r="279" spans="1:9" ht="43.5" x14ac:dyDescent="0.35">
      <c r="A279" s="8">
        <v>165</v>
      </c>
      <c r="B279" s="8" t="str">
        <f t="shared" si="6"/>
        <v>S165</v>
      </c>
      <c r="C279" s="18" t="s">
        <v>23</v>
      </c>
      <c r="D279" s="13" t="s">
        <v>253</v>
      </c>
      <c r="E279" s="18" t="s">
        <v>586</v>
      </c>
      <c r="F279" s="17" t="s">
        <v>584</v>
      </c>
      <c r="G279" s="8">
        <v>15</v>
      </c>
      <c r="H279" s="13" t="s">
        <v>12</v>
      </c>
      <c r="I279" s="8" t="s">
        <v>585</v>
      </c>
    </row>
    <row r="280" spans="1:9" ht="29" x14ac:dyDescent="0.35">
      <c r="A280" s="8">
        <v>166</v>
      </c>
      <c r="B280" s="8" t="str">
        <f t="shared" si="6"/>
        <v>S166</v>
      </c>
      <c r="C280" s="18" t="s">
        <v>23</v>
      </c>
      <c r="D280" s="13" t="s">
        <v>253</v>
      </c>
      <c r="E280" s="18" t="s">
        <v>587</v>
      </c>
      <c r="F280" s="17" t="s">
        <v>588</v>
      </c>
      <c r="G280" s="8">
        <v>15</v>
      </c>
      <c r="H280" s="13" t="s">
        <v>12</v>
      </c>
      <c r="I280" s="8" t="s">
        <v>589</v>
      </c>
    </row>
    <row r="281" spans="1:9" ht="29" x14ac:dyDescent="0.35">
      <c r="A281" s="8">
        <v>167</v>
      </c>
      <c r="B281" s="8" t="str">
        <f t="shared" si="6"/>
        <v>S167</v>
      </c>
      <c r="C281" s="18" t="s">
        <v>23</v>
      </c>
      <c r="D281" s="13" t="s">
        <v>253</v>
      </c>
      <c r="E281" s="18" t="s">
        <v>590</v>
      </c>
      <c r="F281" s="17" t="s">
        <v>588</v>
      </c>
      <c r="G281" s="8">
        <v>15</v>
      </c>
      <c r="H281" s="13" t="s">
        <v>12</v>
      </c>
      <c r="I281" s="8" t="s">
        <v>589</v>
      </c>
    </row>
    <row r="282" spans="1:9" ht="72.5" x14ac:dyDescent="0.35">
      <c r="A282" s="8">
        <v>168</v>
      </c>
      <c r="B282" s="8" t="str">
        <f t="shared" si="6"/>
        <v>S168</v>
      </c>
      <c r="C282" s="18" t="s">
        <v>29</v>
      </c>
      <c r="D282" s="13" t="s">
        <v>253</v>
      </c>
      <c r="E282" s="18" t="s">
        <v>591</v>
      </c>
      <c r="F282" s="17" t="s">
        <v>592</v>
      </c>
      <c r="G282" s="8">
        <v>15</v>
      </c>
      <c r="H282" s="13" t="s">
        <v>12</v>
      </c>
      <c r="I282" s="8" t="s">
        <v>593</v>
      </c>
    </row>
    <row r="283" spans="1:9" ht="72.5" x14ac:dyDescent="0.35">
      <c r="A283" s="8">
        <v>169</v>
      </c>
      <c r="B283" s="8" t="str">
        <f t="shared" si="6"/>
        <v>S169</v>
      </c>
      <c r="C283" s="18" t="s">
        <v>29</v>
      </c>
      <c r="D283" s="13" t="s">
        <v>253</v>
      </c>
      <c r="E283" s="18" t="s">
        <v>594</v>
      </c>
      <c r="F283" s="17" t="s">
        <v>595</v>
      </c>
      <c r="G283" s="8">
        <v>16</v>
      </c>
      <c r="H283" s="13" t="s">
        <v>13</v>
      </c>
      <c r="I283" s="8" t="s">
        <v>596</v>
      </c>
    </row>
    <row r="284" spans="1:9" ht="58" x14ac:dyDescent="0.35">
      <c r="A284" s="8">
        <v>170</v>
      </c>
      <c r="B284" s="8" t="str">
        <f t="shared" si="6"/>
        <v>S170</v>
      </c>
      <c r="C284" s="18" t="s">
        <v>29</v>
      </c>
      <c r="D284" s="13" t="s">
        <v>253</v>
      </c>
      <c r="E284" s="18" t="s">
        <v>597</v>
      </c>
      <c r="F284" s="17" t="s">
        <v>598</v>
      </c>
      <c r="G284" s="8">
        <v>16</v>
      </c>
      <c r="H284" s="13" t="s">
        <v>13</v>
      </c>
      <c r="I284" s="8" t="s">
        <v>599</v>
      </c>
    </row>
    <row r="285" spans="1:9" ht="43.5" x14ac:dyDescent="0.35">
      <c r="A285" s="8">
        <v>171</v>
      </c>
      <c r="B285" s="8" t="str">
        <f t="shared" si="6"/>
        <v>S171</v>
      </c>
      <c r="C285" s="18" t="s">
        <v>29</v>
      </c>
      <c r="D285" s="13" t="s">
        <v>253</v>
      </c>
      <c r="E285" s="18" t="s">
        <v>600</v>
      </c>
      <c r="F285" s="17" t="s">
        <v>601</v>
      </c>
      <c r="G285" s="8">
        <v>16</v>
      </c>
      <c r="H285" s="13" t="s">
        <v>13</v>
      </c>
      <c r="I285" s="8" t="s">
        <v>602</v>
      </c>
    </row>
    <row r="286" spans="1:9" ht="43.5" x14ac:dyDescent="0.35">
      <c r="A286" s="8">
        <v>172</v>
      </c>
      <c r="B286" s="8" t="str">
        <f t="shared" si="6"/>
        <v>S172</v>
      </c>
      <c r="C286" s="18" t="s">
        <v>29</v>
      </c>
      <c r="D286" s="13" t="s">
        <v>253</v>
      </c>
      <c r="E286" s="18" t="s">
        <v>603</v>
      </c>
      <c r="F286" s="17" t="s">
        <v>604</v>
      </c>
      <c r="G286" s="8">
        <v>17</v>
      </c>
      <c r="H286" s="13" t="s">
        <v>14</v>
      </c>
      <c r="I286" s="8" t="s">
        <v>605</v>
      </c>
    </row>
    <row r="287" spans="1:9" ht="58" x14ac:dyDescent="0.35">
      <c r="A287" s="8">
        <v>173</v>
      </c>
      <c r="B287" s="8" t="str">
        <f t="shared" si="6"/>
        <v>S173</v>
      </c>
      <c r="C287" s="18" t="s">
        <v>23</v>
      </c>
      <c r="D287" s="13" t="s">
        <v>253</v>
      </c>
      <c r="E287" s="18" t="s">
        <v>606</v>
      </c>
      <c r="F287" s="17" t="s">
        <v>604</v>
      </c>
      <c r="G287" s="8">
        <v>17</v>
      </c>
      <c r="H287" s="13" t="s">
        <v>14</v>
      </c>
      <c r="I287" s="8" t="s">
        <v>605</v>
      </c>
    </row>
    <row r="288" spans="1:9" ht="43.5" x14ac:dyDescent="0.35">
      <c r="A288" s="8">
        <v>174</v>
      </c>
      <c r="B288" s="8" t="str">
        <f t="shared" si="6"/>
        <v>S174</v>
      </c>
      <c r="C288" s="18" t="s">
        <v>23</v>
      </c>
      <c r="D288" s="13" t="s">
        <v>253</v>
      </c>
      <c r="E288" s="18" t="s">
        <v>607</v>
      </c>
      <c r="F288" s="17" t="s">
        <v>608</v>
      </c>
      <c r="G288" s="8">
        <v>17</v>
      </c>
      <c r="H288" s="13" t="s">
        <v>14</v>
      </c>
      <c r="I288" s="8" t="s">
        <v>609</v>
      </c>
    </row>
    <row r="289" spans="1:9" ht="72.5" x14ac:dyDescent="0.35">
      <c r="A289" s="8">
        <v>175</v>
      </c>
      <c r="B289" s="8" t="str">
        <f t="shared" si="6"/>
        <v>S175</v>
      </c>
      <c r="C289" s="18" t="s">
        <v>23</v>
      </c>
      <c r="D289" s="13" t="s">
        <v>253</v>
      </c>
      <c r="E289" s="18" t="s">
        <v>610</v>
      </c>
      <c r="F289" s="17" t="s">
        <v>611</v>
      </c>
      <c r="G289" s="8">
        <v>17</v>
      </c>
      <c r="H289" s="13" t="s">
        <v>14</v>
      </c>
      <c r="I289" s="8" t="s">
        <v>612</v>
      </c>
    </row>
    <row r="290" spans="1:9" ht="58" x14ac:dyDescent="0.35">
      <c r="A290" s="8">
        <v>176</v>
      </c>
      <c r="B290" s="8" t="str">
        <f t="shared" si="6"/>
        <v>S176</v>
      </c>
      <c r="C290" s="18" t="s">
        <v>23</v>
      </c>
      <c r="D290" s="13" t="s">
        <v>253</v>
      </c>
      <c r="E290" s="18" t="s">
        <v>613</v>
      </c>
      <c r="F290" s="17" t="s">
        <v>611</v>
      </c>
      <c r="G290" s="8">
        <v>17</v>
      </c>
      <c r="H290" s="13" t="s">
        <v>14</v>
      </c>
      <c r="I290" s="8" t="s">
        <v>612</v>
      </c>
    </row>
    <row r="291" spans="1:9" ht="58" x14ac:dyDescent="0.35">
      <c r="A291" s="8">
        <v>177</v>
      </c>
      <c r="B291" s="8" t="str">
        <f t="shared" si="6"/>
        <v>S177</v>
      </c>
      <c r="C291" s="18" t="s">
        <v>23</v>
      </c>
      <c r="D291" s="13" t="s">
        <v>253</v>
      </c>
      <c r="E291" s="18" t="s">
        <v>614</v>
      </c>
      <c r="F291" s="17" t="s">
        <v>615</v>
      </c>
      <c r="G291" s="8">
        <v>17</v>
      </c>
      <c r="H291" s="13" t="s">
        <v>14</v>
      </c>
      <c r="I291" s="8" t="s">
        <v>616</v>
      </c>
    </row>
    <row r="292" spans="1:9" ht="43.5" x14ac:dyDescent="0.35">
      <c r="A292" s="8">
        <v>178</v>
      </c>
      <c r="B292" s="8" t="str">
        <f t="shared" si="6"/>
        <v>S178</v>
      </c>
      <c r="C292" s="18" t="s">
        <v>23</v>
      </c>
      <c r="D292" s="13" t="s">
        <v>253</v>
      </c>
      <c r="E292" s="18" t="s">
        <v>617</v>
      </c>
      <c r="F292" s="17" t="s">
        <v>618</v>
      </c>
      <c r="G292" s="8">
        <v>17</v>
      </c>
      <c r="H292" s="13" t="s">
        <v>14</v>
      </c>
      <c r="I292" s="8" t="s">
        <v>619</v>
      </c>
    </row>
    <row r="293" spans="1:9" ht="43.5" x14ac:dyDescent="0.35">
      <c r="A293" s="8">
        <v>179</v>
      </c>
      <c r="B293" s="8" t="str">
        <f t="shared" si="6"/>
        <v>S179</v>
      </c>
      <c r="C293" s="18" t="s">
        <v>29</v>
      </c>
      <c r="D293" s="13" t="s">
        <v>253</v>
      </c>
      <c r="E293" s="18" t="s">
        <v>620</v>
      </c>
      <c r="F293" s="17" t="s">
        <v>618</v>
      </c>
      <c r="G293" s="8">
        <v>17</v>
      </c>
      <c r="H293" s="13" t="s">
        <v>14</v>
      </c>
      <c r="I293" s="8" t="s">
        <v>619</v>
      </c>
    </row>
    <row r="294" spans="1:9" ht="43.5" x14ac:dyDescent="0.35">
      <c r="A294" s="8">
        <v>180</v>
      </c>
      <c r="B294" s="8" t="str">
        <f t="shared" si="6"/>
        <v>S180</v>
      </c>
      <c r="C294" s="18" t="s">
        <v>23</v>
      </c>
      <c r="D294" s="13" t="s">
        <v>253</v>
      </c>
      <c r="E294" s="18" t="s">
        <v>621</v>
      </c>
      <c r="F294" s="17" t="s">
        <v>622</v>
      </c>
      <c r="G294" s="8">
        <v>17</v>
      </c>
      <c r="H294" s="13" t="s">
        <v>14</v>
      </c>
      <c r="I294" s="8" t="s">
        <v>623</v>
      </c>
    </row>
    <row r="295" spans="1:9" ht="43.5" x14ac:dyDescent="0.35">
      <c r="A295" s="8">
        <v>181</v>
      </c>
      <c r="B295" s="8" t="str">
        <f t="shared" si="6"/>
        <v>S181</v>
      </c>
      <c r="C295" s="18" t="s">
        <v>23</v>
      </c>
      <c r="D295" s="13" t="s">
        <v>253</v>
      </c>
      <c r="E295" s="18" t="s">
        <v>624</v>
      </c>
      <c r="F295" s="17" t="s">
        <v>625</v>
      </c>
      <c r="G295" s="8">
        <v>17</v>
      </c>
      <c r="H295" s="13" t="s">
        <v>14</v>
      </c>
      <c r="I295" s="8" t="s">
        <v>626</v>
      </c>
    </row>
    <row r="296" spans="1:9" ht="58" x14ac:dyDescent="0.35">
      <c r="A296" s="8">
        <v>182</v>
      </c>
      <c r="B296" s="8" t="str">
        <f t="shared" si="6"/>
        <v>S182</v>
      </c>
      <c r="C296" s="18" t="s">
        <v>29</v>
      </c>
      <c r="D296" s="13" t="s">
        <v>253</v>
      </c>
      <c r="E296" s="18" t="s">
        <v>627</v>
      </c>
      <c r="F296" s="17" t="s">
        <v>628</v>
      </c>
      <c r="G296" s="8">
        <v>17</v>
      </c>
      <c r="H296" s="13" t="s">
        <v>14</v>
      </c>
      <c r="I296" s="8" t="s">
        <v>629</v>
      </c>
    </row>
    <row r="297" spans="1:9" ht="29" x14ac:dyDescent="0.35">
      <c r="A297" s="8">
        <v>183</v>
      </c>
      <c r="B297" s="8" t="str">
        <f t="shared" si="6"/>
        <v>S183</v>
      </c>
      <c r="C297" s="18" t="s">
        <v>29</v>
      </c>
      <c r="D297" s="13" t="s">
        <v>253</v>
      </c>
      <c r="E297" s="18" t="s">
        <v>630</v>
      </c>
      <c r="F297" s="17" t="s">
        <v>631</v>
      </c>
      <c r="G297" s="8">
        <v>17</v>
      </c>
      <c r="H297" s="13" t="s">
        <v>14</v>
      </c>
      <c r="I297" s="8" t="s">
        <v>632</v>
      </c>
    </row>
    <row r="298" spans="1:9" ht="43.5" x14ac:dyDescent="0.35">
      <c r="A298" s="8">
        <v>184</v>
      </c>
      <c r="B298" s="8" t="str">
        <f t="shared" si="6"/>
        <v>S184</v>
      </c>
      <c r="C298" s="18" t="s">
        <v>29</v>
      </c>
      <c r="D298" s="13" t="s">
        <v>253</v>
      </c>
      <c r="E298" s="18" t="s">
        <v>633</v>
      </c>
      <c r="F298" s="17" t="s">
        <v>631</v>
      </c>
      <c r="G298" s="8">
        <v>17</v>
      </c>
      <c r="H298" s="13" t="s">
        <v>14</v>
      </c>
      <c r="I298" s="8" t="s">
        <v>632</v>
      </c>
    </row>
    <row r="299" spans="1:9" ht="29" x14ac:dyDescent="0.35">
      <c r="A299" s="8">
        <v>185</v>
      </c>
      <c r="B299" s="8" t="str">
        <f t="shared" si="6"/>
        <v>S185</v>
      </c>
      <c r="C299" s="18" t="s">
        <v>29</v>
      </c>
      <c r="D299" s="13" t="s">
        <v>253</v>
      </c>
      <c r="E299" s="18" t="s">
        <v>634</v>
      </c>
      <c r="F299" s="17" t="s">
        <v>631</v>
      </c>
      <c r="G299" s="8">
        <v>17</v>
      </c>
      <c r="H299" s="13" t="s">
        <v>14</v>
      </c>
      <c r="I299" s="8" t="s">
        <v>632</v>
      </c>
    </row>
    <row r="300" spans="1:9" x14ac:dyDescent="0.35">
      <c r="A300" s="8">
        <v>186</v>
      </c>
      <c r="B300" s="8" t="str">
        <f t="shared" si="6"/>
        <v>S186</v>
      </c>
      <c r="C300" s="18" t="s">
        <v>29</v>
      </c>
      <c r="D300" s="13" t="s">
        <v>253</v>
      </c>
      <c r="E300" s="18" t="s">
        <v>635</v>
      </c>
      <c r="F300" s="17" t="s">
        <v>636</v>
      </c>
      <c r="G300" s="8">
        <v>17</v>
      </c>
      <c r="H300" s="13" t="s">
        <v>14</v>
      </c>
      <c r="I300" s="8" t="s">
        <v>637</v>
      </c>
    </row>
    <row r="301" spans="1:9" ht="72.5" x14ac:dyDescent="0.35">
      <c r="A301" s="8">
        <v>187</v>
      </c>
      <c r="B301" s="8" t="str">
        <f t="shared" si="6"/>
        <v>S187</v>
      </c>
      <c r="C301" s="18" t="s">
        <v>23</v>
      </c>
      <c r="D301" s="13" t="s">
        <v>253</v>
      </c>
      <c r="E301" s="18" t="s">
        <v>638</v>
      </c>
      <c r="F301" s="17" t="s">
        <v>636</v>
      </c>
      <c r="G301" s="8">
        <v>17</v>
      </c>
      <c r="H301" s="13" t="s">
        <v>14</v>
      </c>
      <c r="I301" s="8" t="s">
        <v>637</v>
      </c>
    </row>
    <row r="302" spans="1:9" ht="43.5" x14ac:dyDescent="0.35">
      <c r="A302" s="8">
        <v>188</v>
      </c>
      <c r="B302" s="8" t="str">
        <f t="shared" si="6"/>
        <v>S188</v>
      </c>
      <c r="C302" s="18" t="s">
        <v>23</v>
      </c>
      <c r="D302" s="13" t="s">
        <v>253</v>
      </c>
      <c r="E302" s="18" t="s">
        <v>639</v>
      </c>
      <c r="F302" s="17" t="s">
        <v>640</v>
      </c>
      <c r="G302" s="8">
        <v>17</v>
      </c>
      <c r="H302" s="13" t="s">
        <v>14</v>
      </c>
      <c r="I302" s="8" t="s">
        <v>641</v>
      </c>
    </row>
    <row r="303" spans="1:9" x14ac:dyDescent="0.35">
      <c r="A303" s="13"/>
      <c r="B303" s="8"/>
      <c r="C303" s="18"/>
      <c r="D303" s="13"/>
      <c r="E303" s="18"/>
      <c r="F303" s="17"/>
      <c r="G303" s="8"/>
      <c r="H303" s="13"/>
      <c r="I303" s="8"/>
    </row>
  </sheetData>
  <autoFilter ref="B1:I303" xr:uid="{850021DF-B5C9-402C-9931-B9762AF2492C}"/>
  <sortState xmlns:xlrd2="http://schemas.microsoft.com/office/spreadsheetml/2017/richdata2" ref="A2:I303">
    <sortCondition ref="D2:D303"/>
    <sortCondition ref="A2:A303"/>
  </sortState>
  <phoneticPr fontId="1" type="noConversion"/>
  <pageMargins left="0.7" right="0.7" top="0.75" bottom="0.75" header="0.3" footer="0.3"/>
  <pageSetup paperSize="9" scale="2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F219-8F8D-4BCE-8799-0225BBE97857}">
  <dimension ref="A1:Q15"/>
  <sheetViews>
    <sheetView workbookViewId="0"/>
  </sheetViews>
  <sheetFormatPr defaultRowHeight="14.5" x14ac:dyDescent="0.35"/>
  <cols>
    <col min="2" max="2" width="41.26953125" bestFit="1" customWidth="1"/>
    <col min="4" max="4" width="41.26953125" bestFit="1" customWidth="1"/>
    <col min="5" max="5" width="18.90625" bestFit="1" customWidth="1"/>
    <col min="6" max="6" width="39.08984375" bestFit="1" customWidth="1"/>
    <col min="7" max="7" width="17.26953125" bestFit="1" customWidth="1"/>
    <col min="8" max="8" width="21.90625" bestFit="1" customWidth="1"/>
    <col min="9" max="9" width="24.36328125" bestFit="1" customWidth="1"/>
    <col min="10" max="10" width="16.26953125" bestFit="1" customWidth="1"/>
    <col min="11" max="11" width="18.36328125" bestFit="1" customWidth="1"/>
    <col min="12" max="12" width="19.08984375" bestFit="1" customWidth="1"/>
    <col min="13" max="13" width="15.7265625" bestFit="1" customWidth="1"/>
    <col min="14" max="14" width="29.7265625" bestFit="1" customWidth="1"/>
    <col min="15" max="15" width="20.36328125" bestFit="1" customWidth="1"/>
    <col min="16" max="16" width="31" bestFit="1" customWidth="1"/>
  </cols>
  <sheetData>
    <row r="1" spans="1:17" x14ac:dyDescent="0.35">
      <c r="B1" s="1" t="s">
        <v>0</v>
      </c>
    </row>
    <row r="2" spans="1:17" x14ac:dyDescent="0.35">
      <c r="A2">
        <v>3</v>
      </c>
      <c r="B2" t="s">
        <v>1</v>
      </c>
    </row>
    <row r="3" spans="1:17" x14ac:dyDescent="0.35">
      <c r="A3">
        <v>4</v>
      </c>
      <c r="B3" t="s">
        <v>2</v>
      </c>
      <c r="D3">
        <v>3</v>
      </c>
      <c r="E3">
        <v>4</v>
      </c>
      <c r="F3">
        <v>5</v>
      </c>
      <c r="G3">
        <v>6</v>
      </c>
      <c r="H3">
        <v>7</v>
      </c>
      <c r="I3">
        <v>8</v>
      </c>
      <c r="J3">
        <v>9</v>
      </c>
      <c r="K3">
        <v>10</v>
      </c>
      <c r="L3">
        <v>11</v>
      </c>
      <c r="M3">
        <v>13</v>
      </c>
      <c r="N3">
        <v>14</v>
      </c>
      <c r="O3">
        <v>5</v>
      </c>
      <c r="P3">
        <v>16</v>
      </c>
      <c r="Q3">
        <v>17</v>
      </c>
    </row>
    <row r="4" spans="1:17" x14ac:dyDescent="0.35">
      <c r="A4">
        <v>5</v>
      </c>
      <c r="B4" t="s">
        <v>3</v>
      </c>
      <c r="D4" t="s">
        <v>1</v>
      </c>
      <c r="E4" t="s">
        <v>2</v>
      </c>
      <c r="F4" t="s">
        <v>3</v>
      </c>
      <c r="G4" t="s">
        <v>4</v>
      </c>
      <c r="H4" t="s">
        <v>5</v>
      </c>
      <c r="I4" t="s">
        <v>6</v>
      </c>
      <c r="J4" t="s">
        <v>7</v>
      </c>
      <c r="K4" t="s">
        <v>8</v>
      </c>
      <c r="L4" t="s">
        <v>9</v>
      </c>
      <c r="M4" t="s">
        <v>10</v>
      </c>
      <c r="N4" t="s">
        <v>11</v>
      </c>
      <c r="O4" t="s">
        <v>12</v>
      </c>
      <c r="P4" t="s">
        <v>13</v>
      </c>
      <c r="Q4" t="s">
        <v>14</v>
      </c>
    </row>
    <row r="5" spans="1:17" x14ac:dyDescent="0.35">
      <c r="A5">
        <v>6</v>
      </c>
      <c r="B5" t="s">
        <v>4</v>
      </c>
    </row>
    <row r="6" spans="1:17" x14ac:dyDescent="0.35">
      <c r="A6">
        <v>7</v>
      </c>
      <c r="B6" t="s">
        <v>5</v>
      </c>
    </row>
    <row r="7" spans="1:17" x14ac:dyDescent="0.35">
      <c r="A7">
        <v>8</v>
      </c>
      <c r="B7" t="s">
        <v>6</v>
      </c>
    </row>
    <row r="8" spans="1:17" x14ac:dyDescent="0.35">
      <c r="A8">
        <v>9</v>
      </c>
      <c r="B8" t="s">
        <v>7</v>
      </c>
    </row>
    <row r="9" spans="1:17" x14ac:dyDescent="0.35">
      <c r="A9">
        <v>10</v>
      </c>
      <c r="B9" t="s">
        <v>8</v>
      </c>
    </row>
    <row r="10" spans="1:17" x14ac:dyDescent="0.35">
      <c r="A10">
        <v>11</v>
      </c>
      <c r="B10" t="s">
        <v>9</v>
      </c>
    </row>
    <row r="11" spans="1:17" x14ac:dyDescent="0.35">
      <c r="A11">
        <v>13</v>
      </c>
      <c r="B11" t="s">
        <v>10</v>
      </c>
    </row>
    <row r="12" spans="1:17" x14ac:dyDescent="0.35">
      <c r="A12">
        <v>14</v>
      </c>
      <c r="B12" t="s">
        <v>11</v>
      </c>
    </row>
    <row r="13" spans="1:17" x14ac:dyDescent="0.35">
      <c r="A13">
        <v>5</v>
      </c>
      <c r="B13" t="s">
        <v>12</v>
      </c>
    </row>
    <row r="14" spans="1:17" x14ac:dyDescent="0.35">
      <c r="A14">
        <v>16</v>
      </c>
      <c r="B14" t="s">
        <v>13</v>
      </c>
    </row>
    <row r="15" spans="1:17" x14ac:dyDescent="0.35">
      <c r="A15">
        <v>17</v>
      </c>
      <c r="B15"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464C1-C75D-4BB9-B310-8D63F0D075CA}">
  <dimension ref="A1:A3"/>
  <sheetViews>
    <sheetView workbookViewId="0">
      <selection activeCell="E33" sqref="D33:E35"/>
    </sheetView>
  </sheetViews>
  <sheetFormatPr defaultRowHeight="14.5" x14ac:dyDescent="0.35"/>
  <sheetData>
    <row r="1" spans="1:1" x14ac:dyDescent="0.35">
      <c r="A1" t="s">
        <v>27</v>
      </c>
    </row>
    <row r="2" spans="1:1" x14ac:dyDescent="0.35">
      <c r="A2" t="s">
        <v>26</v>
      </c>
    </row>
    <row r="3" spans="1:1" x14ac:dyDescent="0.35">
      <c r="A3"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customXsn xmlns="http://schemas.microsoft.com/office/2006/metadata/customXsn">
  <xsnLocation/>
  <cached>True</cached>
  <openByDefault>False</openByDefault>
  <xsnScope/>
</customXsn>
</file>

<file path=customXml/item2.xml><?xml version="1.0" encoding="utf-8"?>
<?mso-contentType ?>
<SharedContentType xmlns="Microsoft.SharePoint.Taxonomy.ContentTypeSync" SourceId="d07acfae-4dfa-4949-99a8-259efd31a6ae" ContentTypeId="0x010100BBA312BF02777149882D207184EC35C032" PreviousValue="false"/>
</file>

<file path=customXml/item3.xml><?xml version="1.0" encoding="utf-8"?>
<p:properties xmlns:p="http://schemas.microsoft.com/office/2006/metadata/properties" xmlns:xsi="http://www.w3.org/2001/XMLSchema-instance" xmlns:pc="http://schemas.microsoft.com/office/infopath/2007/PartnerControls">
  <documentManagement>
    <TaxCatchAll xmlns="cc625d36-bb37-4650-91b9-0c96159295ba"/>
    <edbe0b5c82304c8e847ab7b8c02a77c3 xmlns="cc625d36-bb37-4650-91b9-0c96159295ba">
      <Terms xmlns="http://schemas.microsoft.com/office/infopath/2007/PartnerControls"/>
    </edbe0b5c82304c8e847ab7b8c02a77c3>
    <DirtyMigration xmlns="4e9c2f0c-7bf8-49af-8356-cbf363fc78a7">false</DirtyMigration>
    <RKNyckelord xmlns="18f3d968-6251-40b0-9f11-012b293496c2" xsi:nil="true"/>
    <k46d94c0acf84ab9a79866a9d8b1905f xmlns="cc625d36-bb37-4650-91b9-0c96159295ba">
      <Terms xmlns="http://schemas.microsoft.com/office/infopath/2007/PartnerControls"/>
    </k46d94c0acf84ab9a79866a9d8b1905f>
    <RecordNumber xmlns="4e9c2f0c-7bf8-49af-8356-cbf363fc78a7" xsi:nil="true"/>
    <_dlc_DocId xmlns="4e299e88-e5ca-4819-b20c-73fa08639097">QH4UE6JDVAW5-797447881-1400</_dlc_DocId>
    <_dlc_DocIdUrl xmlns="4e299e88-e5ca-4819-b20c-73fa08639097">
      <Url>https://dhs.sp.regeringskansliet.se/dep/fi/baieaskagem/_layouts/15/DocIdRedir.aspx?ID=QH4UE6JDVAW5-797447881-1400</Url>
      <Description>QH4UE6JDVAW5-797447881-1400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t:contentTypeSchema xmlns:ct="http://schemas.microsoft.com/office/2006/metadata/contentType" xmlns:ma="http://schemas.microsoft.com/office/2006/metadata/properties/metaAttributes" ct:_="" ma:_="" ma:contentTypeName="RK Word" ma:contentTypeID="0x010100BBA312BF02777149882D207184EC35C032006E91849699E14F4E8ED6631C96C25D43" ma:contentTypeVersion="75" ma:contentTypeDescription="Skapa nytt dokument med möjlighet att välja RK-mall" ma:contentTypeScope="" ma:versionID="0d38c09484e6d9293128b3dc6c46b2a7">
  <xsd:schema xmlns:xsd="http://www.w3.org/2001/XMLSchema" xmlns:xs="http://www.w3.org/2001/XMLSchema" xmlns:p="http://schemas.microsoft.com/office/2006/metadata/properties" xmlns:ns2="4e9c2f0c-7bf8-49af-8356-cbf363fc78a7" xmlns:ns3="cc625d36-bb37-4650-91b9-0c96159295ba" xmlns:ns4="18f3d968-6251-40b0-9f11-012b293496c2" xmlns:ns6="4e299e88-e5ca-4819-b20c-73fa08639097" targetNamespace="http://schemas.microsoft.com/office/2006/metadata/properties" ma:root="true" ma:fieldsID="2f25e515e289c81a15e900690deeef4f" ns2:_="" ns3:_="" ns4:_="" ns6:_="">
    <xsd:import namespace="4e9c2f0c-7bf8-49af-8356-cbf363fc78a7"/>
    <xsd:import namespace="cc625d36-bb37-4650-91b9-0c96159295ba"/>
    <xsd:import namespace="18f3d968-6251-40b0-9f11-012b293496c2"/>
    <xsd:import namespace="4e299e88-e5ca-4819-b20c-73fa08639097"/>
    <xsd:element name="properties">
      <xsd:complexType>
        <xsd:sequence>
          <xsd:element name="documentManagement">
            <xsd:complexType>
              <xsd:all>
                <xsd:element ref="ns2:RecordNumber" minOccurs="0"/>
                <xsd:element ref="ns2:DirtyMigration" minOccurs="0"/>
                <xsd:element ref="ns3:TaxCatchAllLabel" minOccurs="0"/>
                <xsd:element ref="ns3:k46d94c0acf84ab9a79866a9d8b1905f" minOccurs="0"/>
                <xsd:element ref="ns3:TaxCatchAll" minOccurs="0"/>
                <xsd:element ref="ns3:edbe0b5c82304c8e847ab7b8c02a77c3" minOccurs="0"/>
                <xsd:element ref="ns4:RKNyckelord"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9c2f0c-7bf8-49af-8356-cbf363fc78a7" elementFormDefault="qualified">
    <xsd:import namespace="http://schemas.microsoft.com/office/2006/documentManagement/types"/>
    <xsd:import namespace="http://schemas.microsoft.com/office/infopath/2007/PartnerControls"/>
    <xsd:element name="RecordNumber" ma:index="3" nillable="true" ma:displayName="Diarienummer" ma:internalName="RecordNumber">
      <xsd:simpleType>
        <xsd:restriction base="dms:Text">
          <xsd:maxLength value="255"/>
        </xsd:restriction>
      </xsd:simpleType>
    </xsd:element>
    <xsd:element name="DirtyMigration" ma:index="5" nillable="true" ma:displayName="Migrerad inte uppdaterad" ma:default="0" ma:internalName="DirtyMigra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c625d36-bb37-4650-91b9-0c96159295ba" elementFormDefault="qualified">
    <xsd:import namespace="http://schemas.microsoft.com/office/2006/documentManagement/types"/>
    <xsd:import namespace="http://schemas.microsoft.com/office/infopath/2007/PartnerControls"/>
    <xsd:element name="TaxCatchAllLabel" ma:index="6" nillable="true" ma:displayName="Taxonomy Catch All Column1" ma:hidden="true" ma:list="{51dc29e2-ee07-43fb-b2f1-b61520e05e5d}" ma:internalName="TaxCatchAllLabel" ma:readOnly="true" ma:showField="CatchAllDataLabel" ma:web="7f234cf9-9109-409f-81f5-34e6e9d42cfb">
      <xsd:complexType>
        <xsd:complexContent>
          <xsd:extension base="dms:MultiChoiceLookup">
            <xsd:sequence>
              <xsd:element name="Value" type="dms:Lookup" maxOccurs="unbounded" minOccurs="0" nillable="true"/>
            </xsd:sequence>
          </xsd:extension>
        </xsd:complexContent>
      </xsd:complexType>
    </xsd:element>
    <xsd:element name="k46d94c0acf84ab9a79866a9d8b1905f" ma:index="11" nillable="true" ma:taxonomy="true" ma:internalName="k46d94c0acf84ab9a79866a9d8b1905f" ma:taxonomyFieldName="Organisation" ma:displayName="Organisatorisk enhet" ma:fieldId="{446d94c0-acf8-4ab9-a798-66a9d8b1905f}" ma:sspId="d07acfae-4dfa-4949-99a8-259efd31a6ae" ma:termSetId="8c1436be-a8c9-4c8f-93bb-07dc2d5595bf" ma:anchorId="00000000-0000-0000-0000-000000000000" ma:open="true" ma:isKeyword="false">
      <xsd:complexType>
        <xsd:sequence>
          <xsd:element ref="pc:Terms" minOccurs="0" maxOccurs="1"/>
        </xsd:sequence>
      </xsd:complexType>
    </xsd:element>
    <xsd:element name="TaxCatchAll" ma:index="13" nillable="true" ma:displayName="Taxonomy Catch All Column" ma:hidden="true" ma:list="{51dc29e2-ee07-43fb-b2f1-b61520e05e5d}" ma:internalName="TaxCatchAll" ma:showField="CatchAllData" ma:web="7f234cf9-9109-409f-81f5-34e6e9d42cfb">
      <xsd:complexType>
        <xsd:complexContent>
          <xsd:extension base="dms:MultiChoiceLookup">
            <xsd:sequence>
              <xsd:element name="Value" type="dms:Lookup" maxOccurs="unbounded" minOccurs="0" nillable="true"/>
            </xsd:sequence>
          </xsd:extension>
        </xsd:complexContent>
      </xsd:complexType>
    </xsd:element>
    <xsd:element name="edbe0b5c82304c8e847ab7b8c02a77c3" ma:index="14" nillable="true" ma:taxonomy="true" ma:internalName="edbe0b5c82304c8e847ab7b8c02a77c3" ma:taxonomyFieldName="ActivityCategory" ma:displayName="Aktivitetskategori" ma:default="" ma:fieldId="{edbe0b5c-8230-4c8e-847a-b7b8c02a77c3}" ma:sspId="d07acfae-4dfa-4949-99a8-259efd31a6ae" ma:termSetId="8bf97125-e7b6-456b-9da4-c0e62cf3e5a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8f3d968-6251-40b0-9f11-012b293496c2" elementFormDefault="qualified">
    <xsd:import namespace="http://schemas.microsoft.com/office/2006/documentManagement/types"/>
    <xsd:import namespace="http://schemas.microsoft.com/office/infopath/2007/PartnerControls"/>
    <xsd:element name="RKNyckelord" ma:index="16" nillable="true" ma:displayName="Nyckelord" ma:internalName="RKNyckel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299e88-e5ca-4819-b20c-73fa08639097" elementFormDefault="qualified">
    <xsd:import namespace="http://schemas.microsoft.com/office/2006/documentManagement/types"/>
    <xsd:import namespace="http://schemas.microsoft.com/office/infopath/2007/PartnerControls"/>
    <xsd:element name="_dlc_DocId" ma:index="18" nillable="true" ma:displayName="Dokument-ID-värde" ma:description="Värdet för dokument-ID som tilldelats till det här objektet." ma:internalName="_dlc_DocId" ma:readOnly="true">
      <xsd:simpleType>
        <xsd:restriction base="dms:Text"/>
      </xsd:simpleType>
    </xsd:element>
    <xsd:element name="_dlc_DocIdUrl" ma:index="19" nillable="true" ma:displayName="Dokument-ID" ma:description="Permanent länk till det här dokumente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Innehållstyp"/>
        <xsd:element ref="dc:title" minOccurs="0" maxOccurs="1" ma:index="1"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BE9986-B19D-4892-AF5B-5C9B92F202AB}">
  <ds:schemaRefs>
    <ds:schemaRef ds:uri="http://schemas.microsoft.com/office/2006/metadata/customXsn"/>
  </ds:schemaRefs>
</ds:datastoreItem>
</file>

<file path=customXml/itemProps2.xml><?xml version="1.0" encoding="utf-8"?>
<ds:datastoreItem xmlns:ds="http://schemas.openxmlformats.org/officeDocument/2006/customXml" ds:itemID="{FA238442-8694-4D7C-93D8-199A3AE163EE}">
  <ds:schemaRefs>
    <ds:schemaRef ds:uri="Microsoft.SharePoint.Taxonomy.ContentTypeSync"/>
  </ds:schemaRefs>
</ds:datastoreItem>
</file>

<file path=customXml/itemProps3.xml><?xml version="1.0" encoding="utf-8"?>
<ds:datastoreItem xmlns:ds="http://schemas.openxmlformats.org/officeDocument/2006/customXml" ds:itemID="{CE29F75A-168B-4370-AB2B-4B2EC9941E01}">
  <ds:schemaRefs>
    <ds:schemaRef ds:uri="http://purl.org/dc/elements/1.1/"/>
    <ds:schemaRef ds:uri="http://schemas.microsoft.com/office/2006/metadata/properties"/>
    <ds:schemaRef ds:uri="cc625d36-bb37-4650-91b9-0c96159295ba"/>
    <ds:schemaRef ds:uri="4e299e88-e5ca-4819-b20c-73fa08639097"/>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18f3d968-6251-40b0-9f11-012b293496c2"/>
    <ds:schemaRef ds:uri="4e9c2f0c-7bf8-49af-8356-cbf363fc78a7"/>
    <ds:schemaRef ds:uri="http://www.w3.org/XML/1998/namespace"/>
  </ds:schemaRefs>
</ds:datastoreItem>
</file>

<file path=customXml/itemProps4.xml><?xml version="1.0" encoding="utf-8"?>
<ds:datastoreItem xmlns:ds="http://schemas.openxmlformats.org/officeDocument/2006/customXml" ds:itemID="{F7EC3F9F-E8BA-4EC8-99AB-1185718978E9}">
  <ds:schemaRefs>
    <ds:schemaRef ds:uri="http://schemas.microsoft.com/sharepoint/events"/>
  </ds:schemaRefs>
</ds:datastoreItem>
</file>

<file path=customXml/itemProps5.xml><?xml version="1.0" encoding="utf-8"?>
<ds:datastoreItem xmlns:ds="http://schemas.openxmlformats.org/officeDocument/2006/customXml" ds:itemID="{0112483C-764E-408E-B043-A5B47A0E4BE4}">
  <ds:schemaRefs>
    <ds:schemaRef ds:uri="http://schemas.microsoft.com/sharepoint/v3/contenttype/forms"/>
  </ds:schemaRefs>
</ds:datastoreItem>
</file>

<file path=customXml/itemProps6.xml><?xml version="1.0" encoding="utf-8"?>
<ds:datastoreItem xmlns:ds="http://schemas.openxmlformats.org/officeDocument/2006/customXml" ds:itemID="{4E66FB7A-1613-4A36-A89D-3844C2A2F6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9c2f0c-7bf8-49af-8356-cbf363fc78a7"/>
    <ds:schemaRef ds:uri="cc625d36-bb37-4650-91b9-0c96159295ba"/>
    <ds:schemaRef ds:uri="18f3d968-6251-40b0-9f11-012b293496c2"/>
    <ds:schemaRef ds:uri="4e299e88-e5ca-4819-b20c-73fa086390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Förslag</vt:lpstr>
      <vt:lpstr>Kapitel</vt:lpstr>
      <vt:lpstr>Mall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Ebba Louise Eliesson</dc:creator>
  <cp:keywords/>
  <dc:description/>
  <cp:lastModifiedBy>Mattias Windahl</cp:lastModifiedBy>
  <cp:revision/>
  <dcterms:created xsi:type="dcterms:W3CDTF">2025-08-21T11:21:25Z</dcterms:created>
  <dcterms:modified xsi:type="dcterms:W3CDTF">2026-07-27T10:30:06Z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0x010100BBA312BF02777149882D207184EC35C032006E91849699E14F4E8ED6631C96C25D43</vt:lpwstr>
  </property>
  <property fmtid="{D5CDD505-2E9C-101B-9397-08002B2CF9AE}" pid="3" name="_dlc_DocIdItemGuid">
    <vt:lpwstr>e24cb26e-8010-441f-82f5-ca2223a7d25b</vt:lpwstr>
  </property>
  <property fmtid="{D5CDD505-2E9C-101B-9397-08002B2CF9AE}" pid="4" name="Organisation">
    <vt:lpwstr/>
  </property>
  <property fmtid="{D5CDD505-2E9C-101B-9397-08002B2CF9AE}" pid="5" name="_dlc_DocId">
    <vt:lpwstr>QH4UE6JDVAW5-797447881-1309</vt:lpwstr>
  </property>
  <property fmtid="{D5CDD505-2E9C-101B-9397-08002B2CF9AE}" pid="6" name="_dlc_DocIdUrl">
    <vt:lpwstr>https://dhs.sp.regeringskansliet.se/dep/fi/baieaskagem/_layouts/15/DocIdRedir.aspx?ID=QH4UE6JDVAW5-797447881-1309, QH4UE6JDVAW5-797447881-1309</vt:lpwstr>
  </property>
  <property fmtid="{D5CDD505-2E9C-101B-9397-08002B2CF9AE}" pid="7" name="TaxKeyword">
    <vt:lpwstr/>
  </property>
  <property fmtid="{D5CDD505-2E9C-101B-9397-08002B2CF9AE}" pid="8" name="ActivityCategory">
    <vt:lpwstr/>
  </property>
  <property fmtid="{D5CDD505-2E9C-101B-9397-08002B2CF9AE}" pid="9" name="TaxKeywordTaxHTField">
    <vt:lpwstr/>
  </property>
</Properties>
</file>